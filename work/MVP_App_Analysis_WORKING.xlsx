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VP Dashboard" sheetId="1" state="visible" r:id="rId1"/>
    <sheet name="Analysis Catalog" sheetId="2" state="visible" r:id="rId2"/>
    <sheet name="MVP Test Matrix" sheetId="3" state="visible" r:id="rId3"/>
    <sheet name="Defects" sheetId="4" state="visible" r:id="rId4"/>
    <sheet name="Test Runs" sheetId="5" state="visible" r:id="rId5"/>
    <sheet name="Release Gate" sheetId="6" state="visible" r:id="rId6"/>
    <sheet name="Lists" sheetId="7" state="visible" r:id="rId7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i val="1"/>
      <color rgb="FF7F6000"/>
      <sz val="11"/>
    </font>
    <font>
      <name val="Carlito"/>
      <b val="1"/>
      <sz val="11"/>
    </font>
    <font>
      <name val="Carlito"/>
      <b val="1"/>
      <color rgb="FF1F1F1F"/>
      <sz val="11"/>
    </font>
    <font>
      <name val="Carlito"/>
      <color rgb="FF111827"/>
      <sz val="11"/>
    </font>
    <font>
      <name val="Carlito"/>
      <b val="1"/>
      <color rgb="FF111827"/>
      <sz val="11"/>
    </font>
    <font>
      <name val="Carlito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18"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17"/>
  </cellStyleXfs>
  <cellXfs count="1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9" fontId="0" fillId="0" borderId="0" pivotButton="0" quotePrefix="0" xfId="0"/>
    <xf numFmtId="9" fontId="0" fillId="0" borderId="1" pivotButton="0" quotePrefix="0" xfId="0"/>
    <xf numFmtId="9" fontId="0" fillId="0" borderId="6" pivotButton="0" quotePrefix="0" xfId="0"/>
    <xf numFmtId="9" fontId="0" fillId="0" borderId="14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9" fontId="0" fillId="0" borderId="9" pivotButton="0" quotePrefix="0" xfId="0"/>
    <xf numFmtId="9" fontId="0" fillId="0" borderId="17" pivotButton="0" quotePrefix="0" xfId="0"/>
    <xf numFmtId="0" fontId="0" fillId="6" borderId="5" pivotButton="0" quotePrefix="0" xfId="0"/>
    <xf numFmtId="0" fontId="0" fillId="6" borderId="7" pivotButton="0" quotePrefix="0" xfId="0"/>
    <xf numFmtId="0" fontId="5" fillId="6" borderId="5" pivotButton="0" quotePrefix="0" xfId="0"/>
    <xf numFmtId="0" fontId="5" fillId="6" borderId="7" pivotButton="0" quotePrefix="0" xfId="0"/>
    <xf numFmtId="0" fontId="0" fillId="6" borderId="13" pivotButton="0" quotePrefix="0" xfId="0"/>
    <xf numFmtId="0" fontId="0" fillId="6" borderId="15" pivotButton="0" quotePrefix="0" xfId="0"/>
    <xf numFmtId="0" fontId="5" fillId="6" borderId="13" pivotButton="0" quotePrefix="0" xfId="0"/>
    <xf numFmtId="0" fontId="5" fillId="6" borderId="15" pivotButton="0" quotePrefix="0" xfId="0"/>
    <xf numFmtId="0" fontId="0" fillId="0" borderId="6" applyAlignment="1" pivotButton="0" quotePrefix="0" xfId="0">
      <alignment horizontal="center"/>
    </xf>
    <xf numFmtId="9" fontId="0" fillId="0" borderId="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9" fontId="0" fillId="0" borderId="17" applyAlignment="1" pivotButton="0" quotePrefix="0" xfId="0">
      <alignment horizontal="center"/>
    </xf>
    <xf numFmtId="0" fontId="0" fillId="7" borderId="2" applyAlignment="1" pivotButton="0" quotePrefix="0" xfId="0">
      <alignment wrapText="1"/>
    </xf>
    <xf numFmtId="0" fontId="0" fillId="7" borderId="3" applyAlignment="1" pivotButton="0" quotePrefix="0" xfId="0">
      <alignment wrapText="1"/>
    </xf>
    <xf numFmtId="0" fontId="0" fillId="7" borderId="4" applyAlignment="1" pivotButton="0" quotePrefix="0" xfId="0">
      <alignment wrapText="1"/>
    </xf>
    <xf numFmtId="0" fontId="6" fillId="7" borderId="2" applyAlignment="1" pivotButton="0" quotePrefix="0" xfId="0">
      <alignment wrapText="1"/>
    </xf>
    <xf numFmtId="0" fontId="6" fillId="7" borderId="3" applyAlignment="1" pivotButton="0" quotePrefix="0" xfId="0">
      <alignment wrapText="1"/>
    </xf>
    <xf numFmtId="0" fontId="6" fillId="7" borderId="4" applyAlignment="1" pivotButton="0" quotePrefix="0" xfId="0">
      <alignment wrapText="1"/>
    </xf>
    <xf numFmtId="0" fontId="0" fillId="7" borderId="10" applyAlignment="1" pivotButton="0" quotePrefix="0" xfId="0">
      <alignment wrapText="1"/>
    </xf>
    <xf numFmtId="0" fontId="0" fillId="7" borderId="11" applyAlignment="1" pivotButton="0" quotePrefix="0" xfId="0">
      <alignment wrapText="1"/>
    </xf>
    <xf numFmtId="0" fontId="0" fillId="7" borderId="12" applyAlignment="1" pivotButton="0" quotePrefix="0" xfId="0">
      <alignment wrapText="1"/>
    </xf>
    <xf numFmtId="0" fontId="6" fillId="7" borderId="10" applyAlignment="1" pivotButton="0" quotePrefix="0" xfId="0">
      <alignment wrapText="1"/>
    </xf>
    <xf numFmtId="0" fontId="6" fillId="7" borderId="11" applyAlignment="1" pivotButton="0" quotePrefix="0" xfId="0">
      <alignment wrapText="1"/>
    </xf>
    <xf numFmtId="0" fontId="6" fillId="7" borderId="12" applyAlignment="1" pivotButton="0" quotePrefix="0" xfId="0">
      <alignment wrapText="1"/>
    </xf>
    <xf numFmtId="0" fontId="6" fillId="7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6" fillId="7" borderId="10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6" fillId="7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6" fillId="7" borderId="3" applyAlignment="1" pivotButton="0" quotePrefix="0" xfId="0">
      <alignment vertical="top" wrapText="1"/>
    </xf>
    <xf numFmtId="0" fontId="6" fillId="7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6" borderId="0" pivotButton="0" quotePrefix="0" xfId="0"/>
    <xf numFmtId="0" fontId="5" fillId="6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7" borderId="0" applyAlignment="1" pivotButton="0" quotePrefix="0" xfId="0">
      <alignment wrapText="1"/>
    </xf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9" fontId="0" fillId="0" borderId="6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3" fillId="9" borderId="0" applyAlignment="1" pivotButton="0" quotePrefix="0" xfId="0">
      <alignment vertical="center" wrapText="1"/>
    </xf>
    <xf numFmtId="0" fontId="0" fillId="9" borderId="0" applyAlignment="1" pivotButton="0" quotePrefix="0" xfId="0">
      <alignment wrapText="1"/>
    </xf>
    <xf numFmtId="0" fontId="7" fillId="8" borderId="0" applyAlignment="1" pivotButton="0" quotePrefix="0" xfId="0">
      <alignment wrapText="1"/>
    </xf>
    <xf numFmtId="0" fontId="7" fillId="9" borderId="0" applyAlignment="1" pivotButton="0" quotePrefix="0" xfId="0">
      <alignment vertical="center" wrapText="1"/>
    </xf>
    <xf numFmtId="0" fontId="7" fillId="9" borderId="0" applyAlignment="1" pivotButton="0" quotePrefix="0" xfId="0">
      <alignment wrapText="1"/>
    </xf>
    <xf numFmtId="0" fontId="8" fillId="8" borderId="0" applyAlignment="1" pivotButton="0" quotePrefix="0" xfId="0">
      <alignment wrapText="1"/>
    </xf>
    <xf numFmtId="0" fontId="8" fillId="9" borderId="0" applyAlignment="1" pivotButton="0" quotePrefix="0" xfId="0">
      <alignment vertical="center" wrapText="1"/>
    </xf>
    <xf numFmtId="0" fontId="8" fillId="9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wrapText="1"/>
    </xf>
    <xf numFmtId="0" fontId="8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9" fillId="10" borderId="0" applyAlignment="1" pivotButton="0" quotePrefix="0" xfId="0">
      <alignment wrapText="1"/>
    </xf>
    <xf numFmtId="0" fontId="9" fillId="10" borderId="0" applyAlignment="1" pivotButton="0" quotePrefix="0" xfId="0">
      <alignment horizontal="left" wrapText="1"/>
    </xf>
    <xf numFmtId="0" fontId="9" fillId="10" borderId="0" applyAlignment="1" pivotButton="0" quotePrefix="0" xfId="0">
      <alignment horizontal="left" vertical="center" wrapText="1"/>
    </xf>
    <xf numFmtId="0" fontId="2" fillId="3" borderId="17" applyAlignment="1" pivotButton="0" quotePrefix="0" xfId="0">
      <alignment horizontal="left" vertical="center"/>
    </xf>
    <xf numFmtId="0" fontId="4" fillId="5" borderId="17" applyAlignment="1" pivotButton="0" quotePrefix="0" xfId="0">
      <alignment wrapText="1"/>
    </xf>
    <xf numFmtId="9" fontId="0" fillId="0" borderId="9" applyAlignment="1" pivotButton="0" quotePrefix="0" xfId="0">
      <alignment horizontal="center"/>
    </xf>
    <xf numFmtId="0" fontId="3" fillId="4" borderId="17" applyAlignment="1" pivotButton="0" quotePrefix="0" xfId="0">
      <alignment vertical="center"/>
    </xf>
    <xf numFmtId="9" fontId="0" fillId="0" borderId="0" applyAlignment="1" pivotButton="0" quotePrefix="0" xfId="0">
      <alignment wrapText="1"/>
    </xf>
    <xf numFmtId="0" fontId="9" fillId="10" borderId="17" applyAlignment="1" pivotButton="0" quotePrefix="0" xfId="0">
      <alignment horizontal="left" vertical="center" wrapText="1"/>
    </xf>
  </cellXfs>
  <cellStyles count="1">
    <cellStyle name="Normal" xfId="0"/>
  </cellStyles>
  <dxfs count="17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843C0C"/>
      </font>
      <fill>
        <patternFill>
          <bgColor rgb="FFF4B183"/>
        </patternFill>
      </fill>
    </dxf>
    <dxf>
      <font>
        <b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</font>
      <fill>
        <patternFill>
          <bgColor rgb="FFD9EAD3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C6EFCE"/>
        </patternFill>
      </fill>
    </dxf>
    <dxf>
      <font>
        <b val="1"/>
      </font>
      <fill>
        <patternFill>
          <bgColor rgb="FFFFC7CE"/>
        </patternFill>
      </fill>
    </dxf>
    <dxf>
      <font>
        <b val="1"/>
      </font>
      <fill>
        <patternFill>
          <bgColor rgb="FFFFC7CE"/>
        </patternFill>
      </fill>
    </dxf>
    <dxf>
      <font>
        <b val="1"/>
      </font>
      <fill>
        <patternFill>
          <bgColor rgb="FFFFC7CE"/>
        </patternFill>
      </fill>
    </dxf>
    <dxf>
      <font>
        <b val="1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Tests by Platform / Failed MVP Gate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Total</v>
          </tx>
          <spPr>
            <a:ln>
              <a:prstDash val="solid"/>
            </a:ln>
          </spPr>
          <cat>
            <strRef>
              <f>'MVP Dashboard'!$D$5:$D$9</f>
              <strCache>
                <ptCount val="0"/>
              </strCache>
            </strRef>
          </cat>
          <val>
            <numRef>
              <f>'MVP Dashboard'!$E$5:$E$9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Failed MVP Gate</v>
          </tx>
          <spPr>
            <a:ln>
              <a:prstDash val="solid"/>
            </a:ln>
          </spPr>
          <cat>
            <strRef>
              <f>'MVP Dashboard'!$D$5:$D$9</f>
              <strCache>
                <ptCount val="0"/>
              </strCache>
            </strRef>
          </cat>
          <val>
            <numRef>
              <f>'MVP Dashboard'!$F$5:$F$9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3</row>
      <rowOff>0</rowOff>
    </from>
    <to>
      <col>15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nalysisCatalogTable" displayName="AnalysisCatalogTable" ref="A2:K59" headerRowCount="1" totalsRowCount="0" totalsRowShown="0">
  <tableColumns count="11">
    <tableColumn id="1" name="Code"/>
    <tableColumn id="2" name="Platform"/>
    <tableColumn id="3" name="Вид аналізу"/>
    <tableColumn id="4" name="Мета"/>
    <tableColumn id="5" name="Що перевіряємо"/>
    <tableColumn id="6" name="Коли запускати"/>
    <tableColumn id="7" name="Інструменти / підхід"/>
    <tableColumn id="8" name="Автоматизація"/>
    <tableColumn id="9" name="Ключові метрики"/>
    <tableColumn id="10" name="Артефакт на виході"/>
    <tableColumn id="11" name="MVP критичніс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VPTestMatrixTable" displayName="MVPTestMatrixTable" ref="A2:T129" headerRowCount="1" totalsRowCount="0" totalsRowShown="0">
  <tableColumns count="20">
    <tableColumn id="1" name="Test ID"/>
    <tableColumn id="2" name="Platform"/>
    <tableColumn id="3" name="Stage"/>
    <tableColumn id="4" name="Analysis Type"/>
    <tableColumn id="5" name="Subcategory"/>
    <tableColumn id="6" name="Що перевірити"/>
    <tableColumn id="7" name="Детальний сценарій / кроки"/>
    <tableColumn id="8" name="Очікуваний результат / PASS criterion"/>
    <tableColumn id="9" name="Інструменти"/>
    <tableColumn id="10" name="Automation"/>
    <tableColumn id="11" name="Priority"/>
    <tableColumn id="12" name="Failure Severity"/>
    <tableColumn id="13" name="MVP Gate"/>
    <tableColumn id="14" name="Status"/>
    <tableColumn id="15" name="Owner"/>
    <tableColumn id="16" name="Evidence / Link"/>
    <tableColumn id="17" name="Defect ID"/>
    <tableColumn id="18" name="Retest"/>
    <tableColumn id="19" name="Notes"/>
    <tableColumn id="20" name="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ectsTable" displayName="DefectsTable" ref="A2:Q82" headerRowCount="1" totalsRowCount="0" totalsRowShown="0">
  <tableColumns count="17">
    <tableColumn id="1" name="Defect ID"/>
    <tableColumn id="2" name="Test ID"/>
    <tableColumn id="3" name="Platform"/>
    <tableColumn id="4" name="Title"/>
    <tableColumn id="5" name="Steps to reproduce"/>
    <tableColumn id="6" name="Expected"/>
    <tableColumn id="7" name="Actual"/>
    <tableColumn id="8" name="Severity"/>
    <tableColumn id="9" name="Priority"/>
    <tableColumn id="10" name="Reproducibility"/>
    <tableColumn id="11" name="Status"/>
    <tableColumn id="12" name="Owner"/>
    <tableColumn id="13" name="Found Build"/>
    <tableColumn id="14" name="Fixed Build"/>
    <tableColumn id="15" name="Retest"/>
    <tableColumn id="16" name="Evidence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RunsTable" displayName="TestRunsTable" ref="A2:N52" headerRowCount="1" totalsRowCount="0" totalsRowShown="0">
  <tableColumns count="14">
    <tableColumn id="1" name="Run ID"/>
    <tableColumn id="2" name="Date"/>
    <tableColumn id="3" name="Build / Commit"/>
    <tableColumn id="4" name="Platform / Device"/>
    <tableColumn id="5" name="OS / Browser / WebView"/>
    <tableColumn id="6" name="Environment"/>
    <tableColumn id="7" name="Tester"/>
    <tableColumn id="8" name="Scope"/>
    <tableColumn id="9" name="Total"/>
    <tableColumn id="10" name="Pass"/>
    <tableColumn id="11" name="Fail"/>
    <tableColumn id="12" name="Blocked"/>
    <tableColumn id="13" name="Duration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leaseGateTable" displayName="ReleaseGateTable" ref="A2:G12" headerRowCount="1" totalsRowCount="0" totalsRowShown="0">
  <tableColumns count="7">
    <tableColumn id="1" name="Gate ID"/>
    <tableColumn id="2" name="Blocking Gate"/>
    <tableColumn id="3" name="Required threshold"/>
    <tableColumn id="4" name="Current value"/>
    <tableColumn id="5" name="Result"/>
    <tableColumn id="6" name="Why it matters"/>
    <tableColumn id="7" name="Action if 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style="16" min="1" max="1"/>
    <col width="28" customWidth="1" style="16" min="2" max="2"/>
    <col width="44" customWidth="1" style="16" min="3" max="3"/>
    <col width="34" customWidth="1" style="16" min="4" max="4"/>
    <col width="14" customWidth="1" style="16" min="5" max="5"/>
    <col width="18" customWidth="1" style="16" min="6" max="6"/>
    <col width="14" customWidth="1" style="16" min="7" max="7"/>
    <col width="14" customWidth="1" style="16" min="8" max="8"/>
  </cols>
  <sheetData>
    <row r="1">
      <c r="A1" s="154" t="inlineStr">
        <is>
          <t>MVP QA Dashboard — готовність PC/Web + Android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155" t="inlineStr">
        <is>
          <t>Заповнюй Status у листі “MVP Test Matrix” та дефекти у “Defects”. Dashboard і Release Gate рахуються автоматично.</t>
        </is>
      </c>
      <c r="B2" s="28" t="n"/>
      <c r="C2" s="28" t="n"/>
      <c r="D2" s="28" t="n"/>
      <c r="E2" s="28" t="n"/>
      <c r="F2" s="28" t="n"/>
      <c r="G2" s="28" t="n"/>
      <c r="H2" s="28" t="n"/>
    </row>
    <row r="4">
      <c r="A4" s="12" t="inlineStr">
        <is>
          <t>KPI</t>
        </is>
      </c>
      <c r="B4" s="14" t="inlineStr">
        <is>
          <t>Value</t>
        </is>
      </c>
      <c r="D4" s="12" t="inlineStr">
        <is>
          <t>Platform</t>
        </is>
      </c>
      <c r="E4" s="13" t="inlineStr">
        <is>
          <t>Total</t>
        </is>
      </c>
      <c r="F4" s="14" t="inlineStr">
        <is>
          <t>Failed MVP Gate</t>
        </is>
      </c>
    </row>
    <row r="5">
      <c r="A5" s="81" t="inlineStr">
        <is>
          <t>Total tests</t>
        </is>
      </c>
      <c r="B5" s="87">
        <f>COUNTA('MVP Test Matrix'!$A$3:$A$500)</f>
        <v/>
      </c>
      <c r="D5" s="15" t="inlineStr">
        <is>
          <t>Cross-platform</t>
        </is>
      </c>
      <c r="E5">
        <f>COUNTIF('MVP Test Matrix'!$B$3:$B$500,D5)</f>
        <v/>
      </c>
      <c r="F5" s="17">
        <f>COUNTIFS('MVP Test Matrix'!$B$3:$B$500,D5,'MVP Test Matrix'!$M$3:$M$500,"YES",'MVP Test Matrix'!$N$3:$N$500,"FAIL")</f>
        <v/>
      </c>
    </row>
    <row r="6">
      <c r="A6" s="81" t="inlineStr">
        <is>
          <t>PASS</t>
        </is>
      </c>
      <c r="B6" s="87">
        <f>COUNTIF('MVP Test Matrix'!$N$3:$N$500,"PASS")</f>
        <v/>
      </c>
      <c r="D6" s="15" t="inlineStr">
        <is>
          <t>PC/Web</t>
        </is>
      </c>
      <c r="E6">
        <f>COUNTIF('MVP Test Matrix'!$B$3:$B$500,D6)</f>
        <v/>
      </c>
      <c r="F6" s="17">
        <f>COUNTIFS('MVP Test Matrix'!$B$3:$B$500,D6,'MVP Test Matrix'!$M$3:$M$500,"YES",'MVP Test Matrix'!$N$3:$N$500,"FAIL")</f>
        <v/>
      </c>
    </row>
    <row r="7">
      <c r="A7" s="81" t="inlineStr">
        <is>
          <t>FAIL</t>
        </is>
      </c>
      <c r="B7" s="87">
        <f>COUNTIF('MVP Test Matrix'!$N$3:$N$500,"FAIL")</f>
        <v/>
      </c>
      <c r="D7" s="15" t="inlineStr">
        <is>
          <t>Android</t>
        </is>
      </c>
      <c r="E7">
        <f>COUNTIF('MVP Test Matrix'!$B$3:$B$500,D7)</f>
        <v/>
      </c>
      <c r="F7" s="17">
        <f>COUNTIFS('MVP Test Matrix'!$B$3:$B$500,D7,'MVP Test Matrix'!$M$3:$M$500,"YES",'MVP Test Matrix'!$N$3:$N$500,"FAIL")</f>
        <v/>
      </c>
    </row>
    <row r="8">
      <c r="A8" s="81" t="inlineStr">
        <is>
          <t>BLOCKED</t>
        </is>
      </c>
      <c r="B8" s="87">
        <f>COUNTIF('MVP Test Matrix'!$N$3:$N$500,"BLOCKED")</f>
        <v/>
      </c>
      <c r="D8" s="15" t="inlineStr">
        <is>
          <t>AI/RAG</t>
        </is>
      </c>
      <c r="E8">
        <f>COUNTIF('MVP Test Matrix'!$B$3:$B$500,D8)</f>
        <v/>
      </c>
      <c r="F8" s="17">
        <f>COUNTIFS('MVP Test Matrix'!$B$3:$B$500,D8,'MVP Test Matrix'!$M$3:$M$500,"YES",'MVP Test Matrix'!$N$3:$N$500,"FAIL")</f>
        <v/>
      </c>
    </row>
    <row r="9">
      <c r="A9" s="81" t="inlineStr">
        <is>
          <t>NOT STARTED</t>
        </is>
      </c>
      <c r="B9" s="87">
        <f>COUNTIF('MVP Test Matrix'!$N$3:$N$500,"NOT STARTED")</f>
        <v/>
      </c>
      <c r="D9" s="18" t="inlineStr">
        <is>
          <t>Release</t>
        </is>
      </c>
      <c r="E9" s="19">
        <f>COUNTIF('MVP Test Matrix'!$B$3:$B$500,D9)</f>
        <v/>
      </c>
      <c r="F9" s="20">
        <f>COUNTIFS('MVP Test Matrix'!$B$3:$B$500,D9,'MVP Test Matrix'!$M$3:$M$500,"YES",'MVP Test Matrix'!$N$3:$N$500,"FAIL")</f>
        <v/>
      </c>
    </row>
    <row r="10">
      <c r="A10" s="81" t="inlineStr">
        <is>
          <t>IN PROGRESS</t>
        </is>
      </c>
      <c r="B10" s="87">
        <f>COUNTIF('MVP Test Matrix'!$N$3:$N$500,"IN PROGRESS")</f>
        <v/>
      </c>
    </row>
    <row r="11">
      <c r="A11" s="81" t="inlineStr">
        <is>
          <t>MVP gate tests</t>
        </is>
      </c>
      <c r="B11" s="87">
        <f>COUNTIF('MVP Test Matrix'!$M$3:$M$500,"YES")</f>
        <v/>
      </c>
      <c r="D11" s="12" t="inlineStr">
        <is>
          <t>Priority</t>
        </is>
      </c>
      <c r="E11" s="13" t="inlineStr">
        <is>
          <t>Total</t>
        </is>
      </c>
      <c r="F11" s="14" t="inlineStr">
        <is>
          <t>FAIL</t>
        </is>
      </c>
    </row>
    <row r="12">
      <c r="A12" s="81" t="inlineStr">
        <is>
          <t>MVP gate failed</t>
        </is>
      </c>
      <c r="B12" s="87">
        <f>COUNTIFS('MVP Test Matrix'!$M$3:$M$500,"YES",'MVP Test Matrix'!$N$3:$N$500,"FAIL")</f>
        <v/>
      </c>
      <c r="D12" s="15" t="inlineStr">
        <is>
          <t>P0</t>
        </is>
      </c>
      <c r="E12">
        <f>COUNTIF('MVP Test Matrix'!$K$3:$K$500,D12)</f>
        <v/>
      </c>
      <c r="F12" s="17">
        <f>COUNTIFS('MVP Test Matrix'!$K$3:$K$500,D12,'MVP Test Matrix'!$N$3:$N$500,"FAIL")</f>
        <v/>
      </c>
    </row>
    <row r="13">
      <c r="A13" s="81" t="inlineStr">
        <is>
          <t>Open P0 defects</t>
        </is>
      </c>
      <c r="B13" s="87">
        <f>COUNTIFS(Defects!$I$3:$I$1000,"P0",Defects!$K$3:$K$1000,"&lt;&gt;CLOSED",Defects!$A$3:$A$1000,"&lt;&gt;")</f>
        <v/>
      </c>
      <c r="D13" s="15" t="inlineStr">
        <is>
          <t>P1</t>
        </is>
      </c>
      <c r="E13">
        <f>COUNTIF('MVP Test Matrix'!$K$3:$K$500,D13)</f>
        <v/>
      </c>
      <c r="F13" s="17">
        <f>COUNTIFS('MVP Test Matrix'!$K$3:$K$500,D13,'MVP Test Matrix'!$N$3:$N$500,"FAIL")</f>
        <v/>
      </c>
    </row>
    <row r="14">
      <c r="A14" s="81" t="inlineStr">
        <is>
          <t>Release gates passed</t>
        </is>
      </c>
      <c r="B14" s="87">
        <f>COUNTIF('Release Gate'!$E$3:$E$16,"PASS")</f>
        <v/>
      </c>
      <c r="D14" s="15" t="inlineStr">
        <is>
          <t>P2</t>
        </is>
      </c>
      <c r="E14">
        <f>COUNTIF('MVP Test Matrix'!$K$3:$K$500,D14)</f>
        <v/>
      </c>
      <c r="F14" s="17">
        <f>COUNTIFS('MVP Test Matrix'!$K$3:$K$500,D14,'MVP Test Matrix'!$N$3:$N$500,"FAIL")</f>
        <v/>
      </c>
    </row>
    <row r="15">
      <c r="A15" s="81" t="inlineStr">
        <is>
          <t>Release gates total</t>
        </is>
      </c>
      <c r="B15" s="87">
        <f>COUNTA('Release Gate'!$A$3:$A$16)</f>
        <v/>
      </c>
      <c r="D15" s="18" t="inlineStr">
        <is>
          <t>P3</t>
        </is>
      </c>
      <c r="E15" s="19">
        <f>COUNTIF('MVP Test Matrix'!$K$3:$K$500,D15)</f>
        <v/>
      </c>
      <c r="F15" s="20">
        <f>COUNTIFS('MVP Test Matrix'!$K$3:$K$500,D15,'MVP Test Matrix'!$N$3:$N$500,"FAIL")</f>
        <v/>
      </c>
    </row>
    <row r="16">
      <c r="A16" s="82" t="inlineStr">
        <is>
          <t>Gate pass ratio</t>
        </is>
      </c>
      <c r="B16" s="156">
        <f>IF(B15=0,0,B14/B15)</f>
        <v/>
      </c>
    </row>
    <row r="19">
      <c r="A19" s="157" t="inlineStr">
        <is>
          <t>Рекомендований порядок проходження</t>
        </is>
      </c>
      <c r="B19" s="28" t="n"/>
      <c r="C19" s="28" t="n"/>
      <c r="D19" s="28" t="n"/>
      <c r="E19" s="28" t="n"/>
      <c r="F19" s="28" t="n"/>
      <c r="G19" s="28" t="n"/>
      <c r="H19" s="28" t="n"/>
    </row>
    <row r="20" ht="15" customHeight="1" s="16">
      <c r="A20" s="109" t="inlineStr">
        <is>
          <t>1</t>
        </is>
      </c>
      <c r="B20" s="115" t="inlineStr">
        <is>
          <t>Code / dependency / secrets</t>
        </is>
      </c>
      <c r="C20" s="115" t="inlineStr">
        <is>
          <t>Прибрати blocker-и ще до runtime</t>
        </is>
      </c>
      <c r="D20" s="116" t="inlineStr">
        <is>
          <t>P0/P1 findings = 0</t>
        </is>
      </c>
    </row>
    <row r="21" ht="15" customHeight="1" s="16">
      <c r="A21" s="110" t="inlineStr">
        <is>
          <t>2</t>
        </is>
      </c>
      <c r="B21" s="117" t="inlineStr">
        <is>
          <t>Build / release config</t>
        </is>
      </c>
      <c r="C21" s="117" t="inlineStr">
        <is>
          <t>Отримати відтворюваний production build</t>
        </is>
      </c>
      <c r="D21" s="118" t="inlineStr">
        <is>
          <t>Clean release build PASS</t>
        </is>
      </c>
    </row>
    <row r="22" ht="15" customHeight="1" s="16">
      <c r="A22" s="110" t="inlineStr">
        <is>
          <t>3</t>
        </is>
      </c>
      <c r="B22" s="117" t="inlineStr">
        <is>
          <t>Core functional + data</t>
        </is>
      </c>
      <c r="C22" s="117" t="inlineStr">
        <is>
          <t>CRUD, import/export, migration, recovery</t>
        </is>
      </c>
      <c r="D22" s="118" t="inlineStr">
        <is>
          <t>Core gate tests = 100% PASS</t>
        </is>
      </c>
    </row>
    <row r="23" ht="15" customHeight="1" s="16">
      <c r="A23" s="110" t="inlineStr">
        <is>
          <t>4</t>
        </is>
      </c>
      <c r="B23" s="117" t="inlineStr">
        <is>
          <t>Network / offline</t>
        </is>
      </c>
      <c r="C23" s="117" t="inlineStr">
        <is>
          <t>Пережити offline, reconnect, 429/500</t>
        </is>
      </c>
      <c r="D23" s="118" t="inlineStr">
        <is>
          <t>No data loss / duplicate sync</t>
        </is>
      </c>
    </row>
    <row r="24" ht="15" customHeight="1" s="16">
      <c r="A24" s="110" t="inlineStr">
        <is>
          <t>5</t>
        </is>
      </c>
      <c r="B24" s="117" t="inlineStr">
        <is>
          <t>Security / privacy</t>
        </is>
      </c>
      <c r="C24" s="117" t="inlineStr">
        <is>
          <t>SAST + dynamic + logs/storage</t>
        </is>
      </c>
      <c r="D24" s="118" t="inlineStr">
        <is>
          <t>Critical/High exploitable = 0</t>
        </is>
      </c>
    </row>
    <row r="25" ht="15" customHeight="1" s="16">
      <c r="A25" s="110" t="inlineStr">
        <is>
          <t>6</t>
        </is>
      </c>
      <c r="B25" s="117" t="inlineStr">
        <is>
          <t>Performance / memory</t>
        </is>
      </c>
      <c r="C25" s="117" t="inlineStr">
        <is>
          <t>Startup, latency, leaks, stress</t>
        </is>
      </c>
      <c r="D25" s="118" t="inlineStr">
        <is>
          <t>Budgets met; no unbounded leaks</t>
        </is>
      </c>
    </row>
    <row r="26" ht="15" customHeight="1" s="16">
      <c r="A26" s="110" t="inlineStr">
        <is>
          <t>7</t>
        </is>
      </c>
      <c r="B26" s="117" t="inlineStr">
        <is>
          <t>PC/Web matrix</t>
        </is>
      </c>
      <c r="C26" s="117" t="inlineStr">
        <is>
          <t>Browsers, DPI, filesystem, Windows env</t>
        </is>
      </c>
      <c r="D26" s="118" t="inlineStr">
        <is>
          <t>Supported PC matrix PASS</t>
        </is>
      </c>
    </row>
    <row r="27" ht="15" customHeight="1" s="16">
      <c r="A27" s="110" t="inlineStr">
        <is>
          <t>8</t>
        </is>
      </c>
      <c r="B27" s="117" t="inlineStr">
        <is>
          <t>Android matrix</t>
        </is>
      </c>
      <c r="C27" s="117" t="inlineStr">
        <is>
          <t>Lifecycle, permissions, WebView, devices, signing</t>
        </is>
      </c>
      <c r="D27" s="118" t="inlineStr">
        <is>
          <t>Supported Android matrix PASS</t>
        </is>
      </c>
    </row>
    <row r="28" ht="15" customHeight="1" s="16">
      <c r="A28" s="110" t="inlineStr">
        <is>
          <t>9</t>
        </is>
      </c>
      <c r="B28" s="117" t="inlineStr">
        <is>
          <t>Content / AI if applicable</t>
        </is>
      </c>
      <c r="C28" s="117" t="inlineStr">
        <is>
          <t>Domain facts, formulas, citations, RAG eval</t>
        </is>
      </c>
      <c r="D28" s="118" t="inlineStr">
        <is>
          <t>Critical factual/AI failures = 0</t>
        </is>
      </c>
    </row>
    <row r="29" ht="15" customHeight="1" s="16">
      <c r="A29" s="111" t="inlineStr">
        <is>
          <t>10</t>
        </is>
      </c>
      <c r="B29" s="119" t="inlineStr">
        <is>
          <t>Regression + UAT + final smoke</t>
        </is>
      </c>
      <c r="C29" s="119" t="inlineStr">
        <is>
          <t>Freeze critical suite and validate real use</t>
        </is>
      </c>
      <c r="D29" s="120" t="inlineStr">
        <is>
          <t>All Release Gates PASS</t>
        </is>
      </c>
    </row>
    <row r="31">
      <c r="A31" s="157" t="inlineStr">
        <is>
          <t>Interpretation</t>
        </is>
      </c>
      <c r="B31" s="28" t="n"/>
      <c r="C31" s="28" t="n"/>
      <c r="D31" s="28" t="n"/>
      <c r="E31" s="28" t="n"/>
      <c r="F31" s="28" t="n"/>
      <c r="G31" s="28" t="n"/>
      <c r="H31" s="28" t="n"/>
    </row>
    <row r="32">
      <c r="A32" s="155" t="inlineStr">
        <is>
          <t>“MVP RELEASE CANDIDATE” у цьому файлі означає, що всі визначені блокуючі QA-gates пройдені. Це не замінює магазинний review або production monitoring, але дає формальний технічний критерій, що критичні функціональні, data-integrity, security, compatibility та recovery перевірки виконані.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>
      <c r="A33" s="28" t="n"/>
      <c r="H33" s="28" t="n"/>
    </row>
    <row r="34">
      <c r="A34" s="28" t="n"/>
      <c r="H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</sheetData>
  <mergeCells count="5">
    <mergeCell ref="A32:H35"/>
    <mergeCell ref="A2:H2"/>
    <mergeCell ref="A19:H19"/>
    <mergeCell ref="A1:H1"/>
    <mergeCell ref="A31:H31"/>
  </mergeCells>
  <conditionalFormatting sqref="B7">
    <cfRule type="expression" priority="1" dxfId="11">
      <formula>B7&gt;0</formula>
    </cfRule>
  </conditionalFormatting>
  <conditionalFormatting sqref="B12">
    <cfRule type="expression" priority="2" dxfId="11">
      <formula>B12&gt;0</formula>
    </cfRule>
  </conditionalFormatting>
  <conditionalFormatting sqref="B13">
    <cfRule type="expression" priority="3" dxfId="11">
      <formula>B13&gt;0</formula>
    </cfRule>
  </conditionalFormatting>
  <conditionalFormatting sqref="B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8" customWidth="1" style="16" min="1" max="1"/>
    <col width="16" customWidth="1" style="16" min="2" max="2"/>
    <col width="28" customWidth="1" style="16" min="3" max="3"/>
    <col width="34" customWidth="1" style="16" min="4" max="4"/>
    <col width="48" customWidth="1" style="16" min="5" max="5"/>
    <col width="24" customWidth="1" style="16" min="6" max="6"/>
    <col width="30" customWidth="1" style="16" min="7" max="7"/>
    <col width="18" customWidth="1" style="16" min="8" max="8"/>
    <col width="32" customWidth="1" style="16" min="9" max="9"/>
    <col width="30" customWidth="1" style="16" min="10" max="10"/>
    <col width="16" customWidth="1" style="16" min="11" max="11"/>
  </cols>
  <sheetData>
    <row r="1">
      <c r="A1" s="154" t="inlineStr">
        <is>
          <t>Каталог видів аналізу для доведення застосунку до MVP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</row>
    <row r="2">
      <c r="A2" s="12" t="inlineStr">
        <is>
          <t>Code</t>
        </is>
      </c>
      <c r="B2" s="13" t="inlineStr">
        <is>
          <t>Platform</t>
        </is>
      </c>
      <c r="C2" s="13" t="inlineStr">
        <is>
          <t>Вид аналізу</t>
        </is>
      </c>
      <c r="D2" s="13" t="inlineStr">
        <is>
          <t>Мета</t>
        </is>
      </c>
      <c r="E2" s="13" t="inlineStr">
        <is>
          <t>Що перевіряємо</t>
        </is>
      </c>
      <c r="F2" s="13" t="inlineStr">
        <is>
          <t>Коли запускати</t>
        </is>
      </c>
      <c r="G2" s="13" t="inlineStr">
        <is>
          <t>Інструменти / підхід</t>
        </is>
      </c>
      <c r="H2" s="13" t="inlineStr">
        <is>
          <t>Автоматизація</t>
        </is>
      </c>
      <c r="I2" s="13" t="inlineStr">
        <is>
          <t>Ключові метрики</t>
        </is>
      </c>
      <c r="J2" s="13" t="inlineStr">
        <is>
          <t>Артефакт на виході</t>
        </is>
      </c>
      <c r="K2" s="14" t="inlineStr">
        <is>
          <t>MVP критичність</t>
        </is>
      </c>
    </row>
    <row r="3">
      <c r="A3" s="29" t="inlineStr">
        <is>
          <t>A01</t>
        </is>
      </c>
      <c r="B3" s="30" t="inlineStr">
        <is>
          <t>Cross-platform</t>
        </is>
      </c>
      <c r="C3" s="30" t="inlineStr">
        <is>
          <t>Static code analysis</t>
        </is>
      </c>
      <c r="D3" s="30" t="inlineStr">
        <is>
          <t>Знайти дефекти без запуску</t>
        </is>
      </c>
      <c r="E3" s="30" t="inlineStr">
        <is>
          <t>Синтаксис, lint, dead code, null/undefined, async errors, type issues, небезпечні патерни</t>
        </is>
      </c>
      <c r="F3" s="30" t="inlineStr">
        <is>
          <t>На кожен PR / build</t>
        </is>
      </c>
      <c r="G3" s="30" t="inlineStr">
        <is>
          <t>ESLint, TypeScript checks, Semgrep, IDE inspections</t>
        </is>
      </c>
      <c r="H3" s="30" t="inlineStr">
        <is>
          <t>Automated</t>
        </is>
      </c>
      <c r="I3" s="30" t="inlineStr">
        <is>
          <t>0 critical lint; 0 blocker findings</t>
        </is>
      </c>
      <c r="J3" s="30" t="inlineStr">
        <is>
          <t>Static Analysis Report</t>
        </is>
      </c>
      <c r="K3" s="31" t="inlineStr">
        <is>
          <t>High</t>
        </is>
      </c>
    </row>
    <row r="4">
      <c r="A4" s="29" t="inlineStr">
        <is>
          <t>A02</t>
        </is>
      </c>
      <c r="B4" s="30" t="inlineStr">
        <is>
          <t>Cross-platform</t>
        </is>
      </c>
      <c r="C4" s="30" t="inlineStr">
        <is>
          <t>Architecture audit</t>
        </is>
      </c>
      <c r="D4" s="30" t="inlineStr">
        <is>
          <t>Перевірити, чи MVP можна підтримувати й розширювати</t>
        </is>
      </c>
      <c r="E4" s="30" t="inlineStr">
        <is>
          <t>Шари UI/service/storage/API, state, routing, error handling, конфігурація, модульність</t>
        </is>
      </c>
      <c r="F4" s="30" t="inlineStr">
        <is>
          <t>Перед стабілізацією MVP</t>
        </is>
      </c>
      <c r="G4" s="30" t="inlineStr">
        <is>
          <t>Code review + dependency map</t>
        </is>
      </c>
      <c r="H4" s="30" t="inlineStr">
        <is>
          <t>Manual</t>
        </is>
      </c>
      <c r="I4" s="30" t="inlineStr">
        <is>
          <t>Критичні циклічні залежності=0</t>
        </is>
      </c>
      <c r="J4" s="30" t="inlineStr">
        <is>
          <t>Architecture Review</t>
        </is>
      </c>
      <c r="K4" s="31" t="inlineStr">
        <is>
          <t>High</t>
        </is>
      </c>
    </row>
    <row r="5">
      <c r="A5" s="29" t="inlineStr">
        <is>
          <t>A03</t>
        </is>
      </c>
      <c r="B5" s="30" t="inlineStr">
        <is>
          <t>Cross-platform</t>
        </is>
      </c>
      <c r="C5" s="30" t="inlineStr">
        <is>
          <t>Dependency / supply-chain audit</t>
        </is>
      </c>
      <c r="D5" s="30" t="inlineStr">
        <is>
          <t>Прибрати відомі вразливості та ризикові пакети</t>
        </is>
      </c>
      <c r="E5" s="30" t="inlineStr">
        <is>
          <t>CVE, застарілі пакети, abandoned dependencies, ліцензії</t>
        </is>
      </c>
      <c r="F5" s="30" t="inlineStr">
        <is>
          <t>Щотижня + перед release</t>
        </is>
      </c>
      <c r="G5" s="30" t="inlineStr">
        <is>
          <t>npm audit, OSV, dependency review</t>
        </is>
      </c>
      <c r="H5" s="30" t="inlineStr">
        <is>
          <t>Automated</t>
        </is>
      </c>
      <c r="I5" s="30" t="inlineStr">
        <is>
          <t>Critical/High exploitable=0</t>
        </is>
      </c>
      <c r="J5" s="30" t="inlineStr">
        <is>
          <t>Dependency Risk Report</t>
        </is>
      </c>
      <c r="K5" s="31" t="inlineStr">
        <is>
          <t>High</t>
        </is>
      </c>
    </row>
    <row r="6">
      <c r="A6" s="29" t="inlineStr">
        <is>
          <t>A04</t>
        </is>
      </c>
      <c r="B6" s="30" t="inlineStr">
        <is>
          <t>Cross-platform</t>
        </is>
      </c>
      <c r="C6" s="30" t="inlineStr">
        <is>
          <t>Build configuration audit</t>
        </is>
      </c>
      <c r="D6" s="30" t="inlineStr">
        <is>
          <t>Виключити debug/secret/config помилки у release</t>
        </is>
      </c>
      <c r="E6" s="30" t="inlineStr">
        <is>
          <t>Dev/prod env, debug flags, source maps, endpoints, feature flags</t>
        </is>
      </c>
      <c r="F6" s="30" t="inlineStr">
        <is>
          <t>Кожен release candidate</t>
        </is>
      </c>
      <c r="G6" s="30" t="inlineStr">
        <is>
          <t>Build diff + config checklist</t>
        </is>
      </c>
      <c r="H6" s="30" t="inlineStr">
        <is>
          <t>Semi-automated</t>
        </is>
      </c>
      <c r="I6" s="30" t="inlineStr">
        <is>
          <t>0 debug-only configs in prod</t>
        </is>
      </c>
      <c r="J6" s="30" t="inlineStr">
        <is>
          <t>Build Config Report</t>
        </is>
      </c>
      <c r="K6" s="31" t="inlineStr">
        <is>
          <t>High</t>
        </is>
      </c>
    </row>
    <row r="7">
      <c r="A7" s="29" t="inlineStr">
        <is>
          <t>A05</t>
        </is>
      </c>
      <c r="B7" s="30" t="inlineStr">
        <is>
          <t>Cross-platform</t>
        </is>
      </c>
      <c r="C7" s="30" t="inlineStr">
        <is>
          <t>Unit testing</t>
        </is>
      </c>
      <c r="D7" s="30" t="inlineStr">
        <is>
          <t>Перевірити окрему бізнес-логіку</t>
        </is>
      </c>
      <c r="E7" s="30" t="inlineStr">
        <is>
          <t>Calculators, parsers, validators, transforms, state reducers</t>
        </is>
      </c>
      <c r="F7" s="30" t="inlineStr">
        <is>
          <t>На кожну зміну логіки</t>
        </is>
      </c>
      <c r="G7" s="30" t="inlineStr">
        <is>
          <t>Jest/Vitest/JUnit equivalents</t>
        </is>
      </c>
      <c r="H7" s="30" t="inlineStr">
        <is>
          <t>Automated</t>
        </is>
      </c>
      <c r="I7" s="30" t="inlineStr">
        <is>
          <t>100% critical functions covered</t>
        </is>
      </c>
      <c r="J7" s="30" t="inlineStr">
        <is>
          <t>Unit Test Report</t>
        </is>
      </c>
      <c r="K7" s="31" t="inlineStr">
        <is>
          <t>High</t>
        </is>
      </c>
    </row>
    <row r="8">
      <c r="A8" s="29" t="inlineStr">
        <is>
          <t>A06</t>
        </is>
      </c>
      <c r="B8" s="30" t="inlineStr">
        <is>
          <t>Cross-platform</t>
        </is>
      </c>
      <c r="C8" s="30" t="inlineStr">
        <is>
          <t>Integration testing</t>
        </is>
      </c>
      <c r="D8" s="30" t="inlineStr">
        <is>
          <t>Перевірити взаємодію модулів</t>
        </is>
      </c>
      <c r="E8" s="30" t="inlineStr">
        <is>
          <t>UI↔service, parser↔storage, API↔cache, export↔data</t>
        </is>
      </c>
      <c r="F8" s="30" t="inlineStr">
        <is>
          <t>На кожен major build</t>
        </is>
      </c>
      <c r="G8" s="30" t="inlineStr">
        <is>
          <t>Integration test harness</t>
        </is>
      </c>
      <c r="H8" s="30" t="inlineStr">
        <is>
          <t>Automated</t>
        </is>
      </c>
      <c r="I8" s="30" t="inlineStr">
        <is>
          <t>Critical integrations pass=100%</t>
        </is>
      </c>
      <c r="J8" s="30" t="inlineStr">
        <is>
          <t>Integration Report</t>
        </is>
      </c>
      <c r="K8" s="31" t="inlineStr">
        <is>
          <t>High</t>
        </is>
      </c>
    </row>
    <row r="9">
      <c r="A9" s="29" t="inlineStr">
        <is>
          <t>A07</t>
        </is>
      </c>
      <c r="B9" s="30" t="inlineStr">
        <is>
          <t>Cross-platform</t>
        </is>
      </c>
      <c r="C9" s="30" t="inlineStr">
        <is>
          <t>Functional / capability audit</t>
        </is>
      </c>
      <c r="D9" s="30" t="inlineStr">
        <is>
          <t>Довести, що кожна функція реально працює end-to-end</t>
        </is>
      </c>
      <c r="E9" s="30" t="inlineStr">
        <is>
          <t>Create/read/update/delete, import/export, search, settings, sync</t>
        </is>
      </c>
      <c r="F9" s="30" t="inlineStr">
        <is>
          <t>Перед MVP + після великих змін</t>
        </is>
      </c>
      <c r="G9" s="30" t="inlineStr">
        <is>
          <t>Manual checklist + automation</t>
        </is>
      </c>
      <c r="H9" s="30" t="inlineStr">
        <is>
          <t>Semi-automated</t>
        </is>
      </c>
      <c r="I9" s="30" t="inlineStr">
        <is>
          <t>Core capabilities pass=100%</t>
        </is>
      </c>
      <c r="J9" s="30" t="inlineStr">
        <is>
          <t>Capability Matrix</t>
        </is>
      </c>
      <c r="K9" s="31" t="inlineStr">
        <is>
          <t>Critical</t>
        </is>
      </c>
    </row>
    <row r="10">
      <c r="A10" s="29" t="inlineStr">
        <is>
          <t>A08</t>
        </is>
      </c>
      <c r="B10" s="30" t="inlineStr">
        <is>
          <t>Cross-platform</t>
        </is>
      </c>
      <c r="C10" s="30" t="inlineStr">
        <is>
          <t>End-to-End testing</t>
        </is>
      </c>
      <c r="D10" s="30" t="inlineStr">
        <is>
          <t>Перевірити повні сценарії користувача</t>
        </is>
      </c>
      <c r="E10" s="30" t="inlineStr">
        <is>
          <t>Install/login/create/import/analyze/save/export/reopen</t>
        </is>
      </c>
      <c r="F10" s="30" t="inlineStr">
        <is>
          <t>Кожен release candidate</t>
        </is>
      </c>
      <c r="G10" s="30" t="inlineStr">
        <is>
          <t>Playwright/Cypress/Appium/manual</t>
        </is>
      </c>
      <c r="H10" s="30" t="inlineStr">
        <is>
          <t>Semi-automated</t>
        </is>
      </c>
      <c r="I10" s="30" t="inlineStr">
        <is>
          <t>Critical E2E pass=100%</t>
        </is>
      </c>
      <c r="J10" s="30" t="inlineStr">
        <is>
          <t>E2E Report</t>
        </is>
      </c>
      <c r="K10" s="31" t="inlineStr">
        <is>
          <t>Critical</t>
        </is>
      </c>
    </row>
    <row r="11">
      <c r="A11" s="29" t="inlineStr">
        <is>
          <t>A09</t>
        </is>
      </c>
      <c r="B11" s="30" t="inlineStr">
        <is>
          <t>Cross-platform</t>
        </is>
      </c>
      <c r="C11" s="30" t="inlineStr">
        <is>
          <t>Negative testing</t>
        </is>
      </c>
      <c r="D11" s="30" t="inlineStr">
        <is>
          <t>Перевірити поведінку на неправильних даних</t>
        </is>
      </c>
      <c r="E11" s="30" t="inlineStr">
        <is>
          <t>Порожні поля, invalid files, duplicate clicks, timeouts, malformed responses</t>
        </is>
      </c>
      <c r="F11" s="30" t="inlineStr">
        <is>
          <t>Перед MVP</t>
        </is>
      </c>
      <c r="G11" s="30" t="inlineStr">
        <is>
          <t>Fuzzed/manual scenarios</t>
        </is>
      </c>
      <c r="H11" s="30" t="inlineStr">
        <is>
          <t>Semi-automated</t>
        </is>
      </c>
      <c r="I11" s="30" t="inlineStr">
        <is>
          <t>0 crashes; deterministic errors</t>
        </is>
      </c>
      <c r="J11" s="30" t="inlineStr">
        <is>
          <t>Negative Test Report</t>
        </is>
      </c>
      <c r="K11" s="31" t="inlineStr">
        <is>
          <t>High</t>
        </is>
      </c>
    </row>
    <row r="12">
      <c r="A12" s="29" t="inlineStr">
        <is>
          <t>A10</t>
        </is>
      </c>
      <c r="B12" s="30" t="inlineStr">
        <is>
          <t>Cross-platform</t>
        </is>
      </c>
      <c r="C12" s="30" t="inlineStr">
        <is>
          <t>Boundary / edge-case testing</t>
        </is>
      </c>
      <c r="D12" s="30" t="inlineStr">
        <is>
          <t>Знайти дефекти на межах допустимих значень</t>
        </is>
      </c>
      <c r="E12" s="30" t="inlineStr">
        <is>
          <t>0/1/max, very long text, unicode, extremes, date/time edges</t>
        </is>
      </c>
      <c r="F12" s="30" t="inlineStr">
        <is>
          <t>Перед MVP</t>
        </is>
      </c>
      <c r="G12" s="30" t="inlineStr">
        <is>
          <t>Boundary matrix</t>
        </is>
      </c>
      <c r="H12" s="30" t="inlineStr">
        <is>
          <t>Semi-automated</t>
        </is>
      </c>
      <c r="I12" s="30" t="inlineStr">
        <is>
          <t>All documented boundaries handled</t>
        </is>
      </c>
      <c r="J12" s="30" t="inlineStr">
        <is>
          <t>Boundary Report</t>
        </is>
      </c>
      <c r="K12" s="31" t="inlineStr">
        <is>
          <t>High</t>
        </is>
      </c>
    </row>
    <row r="13">
      <c r="A13" s="29" t="inlineStr">
        <is>
          <t>A11</t>
        </is>
      </c>
      <c r="B13" s="30" t="inlineStr">
        <is>
          <t>Cross-platform</t>
        </is>
      </c>
      <c r="C13" s="30" t="inlineStr">
        <is>
          <t>Data integrity audit</t>
        </is>
      </c>
      <c r="D13" s="30" t="inlineStr">
        <is>
          <t>Не допустити втрати/дублювання/пошкодження даних</t>
        </is>
      </c>
      <c r="E13" s="30" t="inlineStr">
        <is>
          <t>CRUD consistency, referential integrity, export matches source, retries</t>
        </is>
      </c>
      <c r="F13" s="30" t="inlineStr">
        <is>
          <t>Кожен RC</t>
        </is>
      </c>
      <c r="G13" s="30" t="inlineStr">
        <is>
          <t>Checksums, DB queries, fixture comparison</t>
        </is>
      </c>
      <c r="H13" s="30" t="inlineStr">
        <is>
          <t>Semi-automated</t>
        </is>
      </c>
      <c r="I13" s="30" t="inlineStr">
        <is>
          <t>Data loss/duplication=0</t>
        </is>
      </c>
      <c r="J13" s="30" t="inlineStr">
        <is>
          <t>Data Integrity Report</t>
        </is>
      </c>
      <c r="K13" s="31" t="inlineStr">
        <is>
          <t>Critical</t>
        </is>
      </c>
    </row>
    <row r="14">
      <c r="A14" s="29" t="inlineStr">
        <is>
          <t>A12</t>
        </is>
      </c>
      <c r="B14" s="30" t="inlineStr">
        <is>
          <t>Cross-platform</t>
        </is>
      </c>
      <c r="C14" s="30" t="inlineStr">
        <is>
          <t>Schema / migration testing</t>
        </is>
      </c>
      <c r="D14" s="30" t="inlineStr">
        <is>
          <t>Гарантувати безпечне оновлення версій</t>
        </is>
      </c>
      <c r="E14" s="30" t="inlineStr">
        <is>
          <t>Old schema→new schema, rollback/forward migration, defaults</t>
        </is>
      </c>
      <c r="F14" s="30" t="inlineStr">
        <is>
          <t>Коли змінюється storage/schema</t>
        </is>
      </c>
      <c r="G14" s="30" t="inlineStr">
        <is>
          <t>Migration fixtures</t>
        </is>
      </c>
      <c r="H14" s="30" t="inlineStr">
        <is>
          <t>Automated</t>
        </is>
      </c>
      <c r="I14" s="30" t="inlineStr">
        <is>
          <t>100% supported migrations pass</t>
        </is>
      </c>
      <c r="J14" s="30" t="inlineStr">
        <is>
          <t>Migration Report</t>
        </is>
      </c>
      <c r="K14" s="31" t="inlineStr">
        <is>
          <t>Critical</t>
        </is>
      </c>
    </row>
    <row r="15">
      <c r="A15" s="29" t="inlineStr">
        <is>
          <t>A13</t>
        </is>
      </c>
      <c r="B15" s="30" t="inlineStr">
        <is>
          <t>Cross-platform</t>
        </is>
      </c>
      <c r="C15" s="30" t="inlineStr">
        <is>
          <t>Offline-first testing</t>
        </is>
      </c>
      <c r="D15" s="30" t="inlineStr">
        <is>
          <t>Перевірити роботу без мережі та відновлення після reconnect</t>
        </is>
      </c>
      <c r="E15" s="30" t="inlineStr">
        <is>
          <t>Launch offline, CRUD offline, queue/sync, conflict handling</t>
        </is>
      </c>
      <c r="F15" s="30" t="inlineStr">
        <is>
          <t>Кожен RC</t>
        </is>
      </c>
      <c r="G15" s="30" t="inlineStr">
        <is>
          <t>Airplane/offline simulation</t>
        </is>
      </c>
      <c r="H15" s="30" t="inlineStr">
        <is>
          <t>Semi-automated</t>
        </is>
      </c>
      <c r="I15" s="30" t="inlineStr">
        <is>
          <t>Core offline actions pass=100%</t>
        </is>
      </c>
      <c r="J15" s="30" t="inlineStr">
        <is>
          <t>Offline Report</t>
        </is>
      </c>
      <c r="K15" s="31" t="inlineStr">
        <is>
          <t>Critical</t>
        </is>
      </c>
    </row>
    <row r="16">
      <c r="A16" s="29" t="inlineStr">
        <is>
          <t>A14</t>
        </is>
      </c>
      <c r="B16" s="30" t="inlineStr">
        <is>
          <t>Cross-platform</t>
        </is>
      </c>
      <c r="C16" s="30" t="inlineStr">
        <is>
          <t>Network resilience testing</t>
        </is>
      </c>
      <c r="D16" s="30" t="inlineStr">
        <is>
          <t>Перевірити нестабільний інтернет</t>
        </is>
      </c>
      <c r="E16" s="30" t="inlineStr">
        <is>
          <t>Latency, packet loss, 429/500, DNS/TLS errors, reconnect</t>
        </is>
      </c>
      <c r="F16" s="30" t="inlineStr">
        <is>
          <t>Кожен RC</t>
        </is>
      </c>
      <c r="G16" s="30" t="inlineStr">
        <is>
          <t>Network throttling/proxy</t>
        </is>
      </c>
      <c r="H16" s="30" t="inlineStr">
        <is>
          <t>Semi-automated</t>
        </is>
      </c>
      <c r="I16" s="30" t="inlineStr">
        <is>
          <t>No crash/data loss; clear retry</t>
        </is>
      </c>
      <c r="J16" s="30" t="inlineStr">
        <is>
          <t>Network Report</t>
        </is>
      </c>
      <c r="K16" s="31" t="inlineStr">
        <is>
          <t>High</t>
        </is>
      </c>
    </row>
    <row r="17">
      <c r="A17" s="29" t="inlineStr">
        <is>
          <t>A15</t>
        </is>
      </c>
      <c r="B17" s="30" t="inlineStr">
        <is>
          <t>Cross-platform</t>
        </is>
      </c>
      <c r="C17" s="30" t="inlineStr">
        <is>
          <t>Crash / recovery testing</t>
        </is>
      </c>
      <c r="D17" s="30" t="inlineStr">
        <is>
          <t>Перевірити відновлення після kill/crash</t>
        </is>
      </c>
      <c r="E17" s="30" t="inlineStr">
        <is>
          <t>Kill during save/import/export/sync; reopen; state recovery</t>
        </is>
      </c>
      <c r="F17" s="30" t="inlineStr">
        <is>
          <t>Кожен RC</t>
        </is>
      </c>
      <c r="G17" s="30" t="inlineStr">
        <is>
          <t>Forced process kill + logs</t>
        </is>
      </c>
      <c r="H17" s="30" t="inlineStr">
        <is>
          <t>Manual</t>
        </is>
      </c>
      <c r="I17" s="30" t="inlineStr">
        <is>
          <t>No corrupted state; recovery path works</t>
        </is>
      </c>
      <c r="J17" s="30" t="inlineStr">
        <is>
          <t>Recovery Report</t>
        </is>
      </c>
      <c r="K17" s="31" t="inlineStr">
        <is>
          <t>Critical</t>
        </is>
      </c>
    </row>
    <row r="18">
      <c r="A18" s="29" t="inlineStr">
        <is>
          <t>A16</t>
        </is>
      </c>
      <c r="B18" s="30" t="inlineStr">
        <is>
          <t>Cross-platform</t>
        </is>
      </c>
      <c r="C18" s="30" t="inlineStr">
        <is>
          <t>Regression testing</t>
        </is>
      </c>
      <c r="D18" s="30" t="inlineStr">
        <is>
          <t>Не допустити повторного ламання виправлених функцій</t>
        </is>
      </c>
      <c r="E18" s="30" t="inlineStr">
        <is>
          <t>Critical bug suite + previous feature tests</t>
        </is>
      </c>
      <c r="F18" s="30" t="inlineStr">
        <is>
          <t>На кожен build</t>
        </is>
      </c>
      <c r="G18" s="30" t="inlineStr">
        <is>
          <t>Automated regression suite</t>
        </is>
      </c>
      <c r="H18" s="30" t="inlineStr">
        <is>
          <t>Automated</t>
        </is>
      </c>
      <c r="I18" s="30" t="inlineStr">
        <is>
          <t>Critical regression pass=100%</t>
        </is>
      </c>
      <c r="J18" s="30" t="inlineStr">
        <is>
          <t>Regression Report</t>
        </is>
      </c>
      <c r="K18" s="31" t="inlineStr">
        <is>
          <t>Critical</t>
        </is>
      </c>
    </row>
    <row r="19">
      <c r="A19" s="29" t="inlineStr">
        <is>
          <t>A17</t>
        </is>
      </c>
      <c r="B19" s="30" t="inlineStr">
        <is>
          <t>Cross-platform</t>
        </is>
      </c>
      <c r="C19" s="30" t="inlineStr">
        <is>
          <t>UI visual audit</t>
        </is>
      </c>
      <c r="D19" s="30" t="inlineStr">
        <is>
          <t>Знайти візуальні дефекти</t>
        </is>
      </c>
      <c r="E19" s="30" t="inlineStr">
        <is>
          <t>Spacing, clipping, overlaps, loaders, empty/error states</t>
        </is>
      </c>
      <c r="F19" s="30" t="inlineStr">
        <is>
          <t>Кожен RC</t>
        </is>
      </c>
      <c r="G19" s="30" t="inlineStr">
        <is>
          <t>Screenshot review / visual diff</t>
        </is>
      </c>
      <c r="H19" s="30" t="inlineStr">
        <is>
          <t>Semi-automated</t>
        </is>
      </c>
      <c r="I19" s="30" t="inlineStr">
        <is>
          <t>0 blocker visual defects</t>
        </is>
      </c>
      <c r="J19" s="30" t="inlineStr">
        <is>
          <t>UI Audit</t>
        </is>
      </c>
      <c r="K19" s="31" t="inlineStr">
        <is>
          <t>Medium</t>
        </is>
      </c>
    </row>
    <row r="20">
      <c r="A20" s="29" t="inlineStr">
        <is>
          <t>A18</t>
        </is>
      </c>
      <c r="B20" s="30" t="inlineStr">
        <is>
          <t>Cross-platform</t>
        </is>
      </c>
      <c r="C20" s="30" t="inlineStr">
        <is>
          <t>UX / usability audit</t>
        </is>
      </c>
      <c r="D20" s="30" t="inlineStr">
        <is>
          <t>Перевірити зрозумілість сценаріїв</t>
        </is>
      </c>
      <c r="E20" s="30" t="inlineStr">
        <is>
          <t>Navigation, feedback, discoverability, click count, undo/confirm</t>
        </is>
      </c>
      <c r="F20" s="30" t="inlineStr">
        <is>
          <t>Перед UAT</t>
        </is>
      </c>
      <c r="G20" s="30" t="inlineStr">
        <is>
          <t>Task-based usability test</t>
        </is>
      </c>
      <c r="H20" s="30" t="inlineStr">
        <is>
          <t>Manual</t>
        </is>
      </c>
      <c r="I20" s="30" t="inlineStr">
        <is>
          <t>Critical task completion≥90%</t>
        </is>
      </c>
      <c r="J20" s="30" t="inlineStr">
        <is>
          <t>UX Findings</t>
        </is>
      </c>
      <c r="K20" s="31" t="inlineStr">
        <is>
          <t>High</t>
        </is>
      </c>
    </row>
    <row r="21">
      <c r="A21" s="29" t="inlineStr">
        <is>
          <t>A19</t>
        </is>
      </c>
      <c r="B21" s="30" t="inlineStr">
        <is>
          <t>Cross-platform</t>
        </is>
      </c>
      <c r="C21" s="30" t="inlineStr">
        <is>
          <t>Accessibility audit</t>
        </is>
      </c>
      <c r="D21" s="30" t="inlineStr">
        <is>
          <t>Забезпечити базову доступність</t>
        </is>
      </c>
      <c r="E21" s="30" t="inlineStr">
        <is>
          <t>Contrast, labels, focus, screen reader, scalable text, touch targets</t>
        </is>
      </c>
      <c r="F21" s="30" t="inlineStr">
        <is>
          <t>Перед MVP</t>
        </is>
      </c>
      <c r="G21" s="30" t="inlineStr">
        <is>
          <t>Axe/Lighthouse/manual</t>
        </is>
      </c>
      <c r="H21" s="30" t="inlineStr">
        <is>
          <t>Semi-automated</t>
        </is>
      </c>
      <c r="I21" s="30" t="inlineStr">
        <is>
          <t>No critical accessibility blockers</t>
        </is>
      </c>
      <c r="J21" s="30" t="inlineStr">
        <is>
          <t>Accessibility Report</t>
        </is>
      </c>
      <c r="K21" s="31" t="inlineStr">
        <is>
          <t>Medium</t>
        </is>
      </c>
    </row>
    <row r="22">
      <c r="A22" s="29" t="inlineStr">
        <is>
          <t>A20</t>
        </is>
      </c>
      <c r="B22" s="30" t="inlineStr">
        <is>
          <t>Cross-platform</t>
        </is>
      </c>
      <c r="C22" s="30" t="inlineStr">
        <is>
          <t>Localization audit</t>
        </is>
      </c>
      <c r="D22" s="30" t="inlineStr">
        <is>
          <t>Перевірити всі мови й формати</t>
        </is>
      </c>
      <c r="E22" s="30" t="inlineStr">
        <is>
          <t>Missing strings, truncation, pluralization, dates, decimals, units</t>
        </is>
      </c>
      <c r="F22" s="30" t="inlineStr">
        <is>
          <t>Кожен RC</t>
        </is>
      </c>
      <c r="G22" s="30" t="inlineStr">
        <is>
          <t>Pseudo-localization + manual</t>
        </is>
      </c>
      <c r="H22" s="30" t="inlineStr">
        <is>
          <t>Semi-automated</t>
        </is>
      </c>
      <c r="I22" s="30" t="inlineStr">
        <is>
          <t>Untranslated critical strings=0</t>
        </is>
      </c>
      <c r="J22" s="30" t="inlineStr">
        <is>
          <t>Localization Report</t>
        </is>
      </c>
      <c r="K22" s="31" t="inlineStr">
        <is>
          <t>High</t>
        </is>
      </c>
    </row>
    <row r="23">
      <c r="A23" s="29" t="inlineStr">
        <is>
          <t>A21</t>
        </is>
      </c>
      <c r="B23" s="30" t="inlineStr">
        <is>
          <t>Cross-platform</t>
        </is>
      </c>
      <c r="C23" s="30" t="inlineStr">
        <is>
          <t>Domain/content audit</t>
        </is>
      </c>
      <c r="D23" s="30" t="inlineStr">
        <is>
          <t>Перевірити правильність предметної інформації</t>
        </is>
      </c>
      <c r="E23" s="30" t="inlineStr">
        <is>
          <t>Rules, formulas, units, warnings, citations, terminology</t>
        </is>
      </c>
      <c r="F23" s="30" t="inlineStr">
        <is>
          <t>Перед MVP + при content updates</t>
        </is>
      </c>
      <c r="G23" s="30" t="inlineStr">
        <is>
          <t>SME review + test cases</t>
        </is>
      </c>
      <c r="H23" s="30" t="inlineStr">
        <is>
          <t>Manual</t>
        </is>
      </c>
      <c r="I23" s="30" t="inlineStr">
        <is>
          <t>Critical factual errors=0</t>
        </is>
      </c>
      <c r="J23" s="30" t="inlineStr">
        <is>
          <t>Content Accuracy Report</t>
        </is>
      </c>
      <c r="K23" s="31" t="inlineStr">
        <is>
          <t>Critical</t>
        </is>
      </c>
    </row>
    <row r="24">
      <c r="A24" s="29" t="inlineStr">
        <is>
          <t>A22</t>
        </is>
      </c>
      <c r="B24" s="30" t="inlineStr">
        <is>
          <t>Cross-platform</t>
        </is>
      </c>
      <c r="C24" s="30" t="inlineStr">
        <is>
          <t>SAST security audit</t>
        </is>
      </c>
      <c r="D24" s="30" t="inlineStr">
        <is>
          <t>Знайти небезпечний код</t>
        </is>
      </c>
      <c r="E24" s="30" t="inlineStr">
        <is>
          <t>Injection sinks, unsafe storage, secrets, crypto misuse, insecure APIs</t>
        </is>
      </c>
      <c r="F24" s="30" t="inlineStr">
        <is>
          <t>Кожен RC</t>
        </is>
      </c>
      <c r="G24" s="30" t="inlineStr">
        <is>
          <t>Semgrep/CodeQL/linters</t>
        </is>
      </c>
      <c r="H24" s="30" t="inlineStr">
        <is>
          <t>Automated</t>
        </is>
      </c>
      <c r="I24" s="30" t="inlineStr">
        <is>
          <t>Critical/High confirmed=0</t>
        </is>
      </c>
      <c r="J24" s="30" t="inlineStr">
        <is>
          <t>SAST Report</t>
        </is>
      </c>
      <c r="K24" s="31" t="inlineStr">
        <is>
          <t>Critical</t>
        </is>
      </c>
    </row>
    <row r="25">
      <c r="A25" s="29" t="inlineStr">
        <is>
          <t>A23</t>
        </is>
      </c>
      <c r="B25" s="30" t="inlineStr">
        <is>
          <t>Cross-platform</t>
        </is>
      </c>
      <c r="C25" s="30" t="inlineStr">
        <is>
          <t>Dynamic security testing</t>
        </is>
      </c>
      <c r="D25" s="30" t="inlineStr">
        <is>
          <t>Перевірити runtime attack surface</t>
        </is>
      </c>
      <c r="E25" s="30" t="inlineStr">
        <is>
          <t>XSS, injection, auth bypass, API manipulation, malicious input</t>
        </is>
      </c>
      <c r="F25" s="30" t="inlineStr">
        <is>
          <t>Перед MVP</t>
        </is>
      </c>
      <c r="G25" s="30" t="inlineStr">
        <is>
          <t>OWASP ZAP/Burp/manual</t>
        </is>
      </c>
      <c r="H25" s="30" t="inlineStr">
        <is>
          <t>Semi-automated</t>
        </is>
      </c>
      <c r="I25" s="30" t="inlineStr">
        <is>
          <t>Critical/High exploitable=0</t>
        </is>
      </c>
      <c r="J25" s="30" t="inlineStr">
        <is>
          <t>DAST Report</t>
        </is>
      </c>
      <c r="K25" s="31" t="inlineStr">
        <is>
          <t>Critical</t>
        </is>
      </c>
    </row>
    <row r="26">
      <c r="A26" s="29" t="inlineStr">
        <is>
          <t>A24</t>
        </is>
      </c>
      <c r="B26" s="30" t="inlineStr">
        <is>
          <t>Cross-platform</t>
        </is>
      </c>
      <c r="C26" s="30" t="inlineStr">
        <is>
          <t>Secrets audit</t>
        </is>
      </c>
      <c r="D26" s="30" t="inlineStr">
        <is>
          <t>Переконатися, що ключі не потрапили в client/repo/logs</t>
        </is>
      </c>
      <c r="E26" s="30" t="inlineStr">
        <is>
          <t>API keys, tokens, service creds, debug dumps</t>
        </is>
      </c>
      <c r="F26" s="30" t="inlineStr">
        <is>
          <t>На кожен release</t>
        </is>
      </c>
      <c r="G26" s="30" t="inlineStr">
        <is>
          <t>Gitleaks/secret scan</t>
        </is>
      </c>
      <c r="H26" s="30" t="inlineStr">
        <is>
          <t>Automated</t>
        </is>
      </c>
      <c r="I26" s="30" t="inlineStr">
        <is>
          <t>Exposed production secrets=0</t>
        </is>
      </c>
      <c r="J26" s="30" t="inlineStr">
        <is>
          <t>Secrets Report</t>
        </is>
      </c>
      <c r="K26" s="31" t="inlineStr">
        <is>
          <t>Critical</t>
        </is>
      </c>
    </row>
    <row r="27">
      <c r="A27" s="29" t="inlineStr">
        <is>
          <t>A25</t>
        </is>
      </c>
      <c r="B27" s="30" t="inlineStr">
        <is>
          <t>Cross-platform</t>
        </is>
      </c>
      <c r="C27" s="30" t="inlineStr">
        <is>
          <t>Privacy audit</t>
        </is>
      </c>
      <c r="D27" s="30" t="inlineStr">
        <is>
          <t>Перевірити мінімізацію та захист даних</t>
        </is>
      </c>
      <c r="E27" s="30" t="inlineStr">
        <is>
          <t>PII, telemetry, logs, analytics, retention, consent</t>
        </is>
      </c>
      <c r="F27" s="30" t="inlineStr">
        <is>
          <t>Перед launch</t>
        </is>
      </c>
      <c r="G27" s="30" t="inlineStr">
        <is>
          <t>Data-flow mapping</t>
        </is>
      </c>
      <c r="H27" s="30" t="inlineStr">
        <is>
          <t>Manual</t>
        </is>
      </c>
      <c r="I27" s="30" t="inlineStr">
        <is>
          <t>Undocumented sensitive flows=0</t>
        </is>
      </c>
      <c r="J27" s="30" t="inlineStr">
        <is>
          <t>Privacy Review</t>
        </is>
      </c>
      <c r="K27" s="31" t="inlineStr">
        <is>
          <t>Critical</t>
        </is>
      </c>
    </row>
    <row r="28">
      <c r="A28" s="29" t="inlineStr">
        <is>
          <t>A26</t>
        </is>
      </c>
      <c r="B28" s="30" t="inlineStr">
        <is>
          <t>Cross-platform</t>
        </is>
      </c>
      <c r="C28" s="30" t="inlineStr">
        <is>
          <t>Authentication / authorization testing</t>
        </is>
      </c>
      <c r="D28" s="30" t="inlineStr">
        <is>
          <t>Перевірити доступ і сесії</t>
        </is>
      </c>
      <c r="E28" s="30" t="inlineStr">
        <is>
          <t>Login/logout, expired token, role access, direct object access</t>
        </is>
      </c>
      <c r="F28" s="30" t="inlineStr">
        <is>
          <t>Кожен RC якщо є auth</t>
        </is>
      </c>
      <c r="G28" s="30" t="inlineStr">
        <is>
          <t>API/UI tests</t>
        </is>
      </c>
      <c r="H28" s="30" t="inlineStr">
        <is>
          <t>Semi-automated</t>
        </is>
      </c>
      <c r="I28" s="30" t="inlineStr">
        <is>
          <t>Unauthorized access=0</t>
        </is>
      </c>
      <c r="J28" s="30" t="inlineStr">
        <is>
          <t>Auth Report</t>
        </is>
      </c>
      <c r="K28" s="31" t="inlineStr">
        <is>
          <t>Critical</t>
        </is>
      </c>
    </row>
    <row r="29">
      <c r="A29" s="29" t="inlineStr">
        <is>
          <t>A27</t>
        </is>
      </c>
      <c r="B29" s="30" t="inlineStr">
        <is>
          <t>Cross-platform</t>
        </is>
      </c>
      <c r="C29" s="30" t="inlineStr">
        <is>
          <t>API contract testing</t>
        </is>
      </c>
      <c r="D29" s="30" t="inlineStr">
        <is>
          <t>Стабілізувати інтеграції</t>
        </is>
      </c>
      <c r="E29" s="30" t="inlineStr">
        <is>
          <t>Schemas, status codes, pagination, idempotency, versioning</t>
        </is>
      </c>
      <c r="F29" s="30" t="inlineStr">
        <is>
          <t>На кожен backend/API change</t>
        </is>
      </c>
      <c r="G29" s="30" t="inlineStr">
        <is>
          <t>OpenAPI tests, contract fixtures</t>
        </is>
      </c>
      <c r="H29" s="30" t="inlineStr">
        <is>
          <t>Automated</t>
        </is>
      </c>
      <c r="I29" s="30" t="inlineStr">
        <is>
          <t>Critical contract failures=0</t>
        </is>
      </c>
      <c r="J29" s="30" t="inlineStr">
        <is>
          <t>API Contract Report</t>
        </is>
      </c>
      <c r="K29" s="31" t="inlineStr">
        <is>
          <t>High</t>
        </is>
      </c>
    </row>
    <row r="30">
      <c r="A30" s="29" t="inlineStr">
        <is>
          <t>A28</t>
        </is>
      </c>
      <c r="B30" s="30" t="inlineStr">
        <is>
          <t>Cross-platform</t>
        </is>
      </c>
      <c r="C30" s="30" t="inlineStr">
        <is>
          <t>File handling security / robustness</t>
        </is>
      </c>
      <c r="D30" s="30" t="inlineStr">
        <is>
          <t>Безпечно обробляти імпорт/експорт</t>
        </is>
      </c>
      <c r="E30" s="30" t="inlineStr">
        <is>
          <t>Corrupt/huge files, path traversal, MIME mismatch, unicode names</t>
        </is>
      </c>
      <c r="F30" s="30" t="inlineStr">
        <is>
          <t>Перед MVP</t>
        </is>
      </c>
      <c r="G30" s="30" t="inlineStr">
        <is>
          <t>Fixture corpus + fuzzing</t>
        </is>
      </c>
      <c r="H30" s="30" t="inlineStr">
        <is>
          <t>Semi-automated</t>
        </is>
      </c>
      <c r="I30" s="30" t="inlineStr">
        <is>
          <t>No crash/path escape/data loss</t>
        </is>
      </c>
      <c r="J30" s="30" t="inlineStr">
        <is>
          <t>File Handling Report</t>
        </is>
      </c>
      <c r="K30" s="31" t="inlineStr">
        <is>
          <t>Critical</t>
        </is>
      </c>
    </row>
    <row r="31">
      <c r="A31" s="29" t="inlineStr">
        <is>
          <t>A29</t>
        </is>
      </c>
      <c r="B31" s="30" t="inlineStr">
        <is>
          <t>Cross-platform</t>
        </is>
      </c>
      <c r="C31" s="30" t="inlineStr">
        <is>
          <t>Performance analysis</t>
        </is>
      </c>
      <c r="D31" s="30" t="inlineStr">
        <is>
          <t>Перевірити швидкість ключових дій</t>
        </is>
      </c>
      <c r="E31" s="30" t="inlineStr">
        <is>
          <t>Startup, list load, parse, search, export, API response</t>
        </is>
      </c>
      <c r="F31" s="30" t="inlineStr">
        <is>
          <t>Кожен RC</t>
        </is>
      </c>
      <c r="G31" s="30" t="inlineStr">
        <is>
          <t>Profiler + timers</t>
        </is>
      </c>
      <c r="H31" s="30" t="inlineStr">
        <is>
          <t>Semi-automated</t>
        </is>
      </c>
      <c r="I31" s="30" t="inlineStr">
        <is>
          <t>Meets defined budgets</t>
        </is>
      </c>
      <c r="J31" s="30" t="inlineStr">
        <is>
          <t>Performance Report</t>
        </is>
      </c>
      <c r="K31" s="31" t="inlineStr">
        <is>
          <t>High</t>
        </is>
      </c>
    </row>
    <row r="32">
      <c r="A32" s="29" t="inlineStr">
        <is>
          <t>A30</t>
        </is>
      </c>
      <c r="B32" s="30" t="inlineStr">
        <is>
          <t>Cross-platform</t>
        </is>
      </c>
      <c r="C32" s="30" t="inlineStr">
        <is>
          <t>Memory leak analysis</t>
        </is>
      </c>
      <c r="D32" s="30" t="inlineStr">
        <is>
          <t>Не допустити накопичення RAM</t>
        </is>
      </c>
      <c r="E32" s="30" t="inlineStr">
        <is>
          <t>Repeated navigation, import cycles, listeners, caches</t>
        </is>
      </c>
      <c r="F32" s="30" t="inlineStr">
        <is>
          <t>Кожен RC</t>
        </is>
      </c>
      <c r="G32" s="30" t="inlineStr">
        <is>
          <t>Heap snapshots/profiler</t>
        </is>
      </c>
      <c r="H32" s="30" t="inlineStr">
        <is>
          <t>Semi-automated</t>
        </is>
      </c>
      <c r="I32" s="30" t="inlineStr">
        <is>
          <t>No unbounded growth</t>
        </is>
      </c>
      <c r="J32" s="30" t="inlineStr">
        <is>
          <t>Memory Report</t>
        </is>
      </c>
      <c r="K32" s="31" t="inlineStr">
        <is>
          <t>High</t>
        </is>
      </c>
    </row>
    <row r="33">
      <c r="A33" s="29" t="inlineStr">
        <is>
          <t>A31</t>
        </is>
      </c>
      <c r="B33" s="30" t="inlineStr">
        <is>
          <t>Cross-platform</t>
        </is>
      </c>
      <c r="C33" s="30" t="inlineStr">
        <is>
          <t>CPU / rendering analysis</t>
        </is>
      </c>
      <c r="D33" s="30" t="inlineStr">
        <is>
          <t>Знайти зайве навантаження</t>
        </is>
      </c>
      <c r="E33" s="30" t="inlineStr">
        <is>
          <t>Idle CPU, animations, parsing, rendering spikes</t>
        </is>
      </c>
      <c r="F33" s="30" t="inlineStr">
        <is>
          <t>Кожен RC</t>
        </is>
      </c>
      <c r="G33" s="30" t="inlineStr">
        <is>
          <t>Profiler/DevTools</t>
        </is>
      </c>
      <c r="H33" s="30" t="inlineStr">
        <is>
          <t>Manual</t>
        </is>
      </c>
      <c r="I33" s="30" t="inlineStr">
        <is>
          <t>Idle near-zero; no sustained spikes</t>
        </is>
      </c>
      <c r="J33" s="30" t="inlineStr">
        <is>
          <t>CPU/GPU Report</t>
        </is>
      </c>
      <c r="K33" s="31" t="inlineStr">
        <is>
          <t>Medium</t>
        </is>
      </c>
    </row>
    <row r="34">
      <c r="A34" s="29" t="inlineStr">
        <is>
          <t>A32</t>
        </is>
      </c>
      <c r="B34" s="30" t="inlineStr">
        <is>
          <t>Cross-platform</t>
        </is>
      </c>
      <c r="C34" s="30" t="inlineStr">
        <is>
          <t>Stress / load testing</t>
        </is>
      </c>
      <c r="D34" s="30" t="inlineStr">
        <is>
          <t>Знайти межу деградації</t>
        </is>
      </c>
      <c r="E34" s="30" t="inlineStr">
        <is>
          <t>Large datasets, files, records, concurrent operations</t>
        </is>
      </c>
      <c r="F34" s="30" t="inlineStr">
        <is>
          <t>Перед MVP</t>
        </is>
      </c>
      <c r="G34" s="30" t="inlineStr">
        <is>
          <t>Synthetic loads</t>
        </is>
      </c>
      <c r="H34" s="30" t="inlineStr">
        <is>
          <t>Semi-automated</t>
        </is>
      </c>
      <c r="I34" s="30" t="inlineStr">
        <is>
          <t>Graceful degradation; no corruption</t>
        </is>
      </c>
      <c r="J34" s="30" t="inlineStr">
        <is>
          <t>Stress Report</t>
        </is>
      </c>
      <c r="K34" s="31" t="inlineStr">
        <is>
          <t>High</t>
        </is>
      </c>
    </row>
    <row r="35">
      <c r="A35" s="29" t="inlineStr">
        <is>
          <t>A33</t>
        </is>
      </c>
      <c r="B35" s="30" t="inlineStr">
        <is>
          <t>Cross-platform</t>
        </is>
      </c>
      <c r="C35" s="30" t="inlineStr">
        <is>
          <t>Observability / logging audit</t>
        </is>
      </c>
      <c r="D35" s="30" t="inlineStr">
        <is>
          <t>Забезпечити діагностику без витоку даних</t>
        </is>
      </c>
      <c r="E35" s="30" t="inlineStr">
        <is>
          <t>Error logs, correlation IDs, crash traces, log levels, PII masking</t>
        </is>
      </c>
      <c r="F35" s="30" t="inlineStr">
        <is>
          <t>Перед MVP</t>
        </is>
      </c>
      <c r="G35" s="30" t="inlineStr">
        <is>
          <t>Log review + forced failures</t>
        </is>
      </c>
      <c r="H35" s="30" t="inlineStr">
        <is>
          <t>Manual</t>
        </is>
      </c>
      <c r="I35" s="30" t="inlineStr">
        <is>
          <t>Actionable logs; sensitive data=0</t>
        </is>
      </c>
      <c r="J35" s="30" t="inlineStr">
        <is>
          <t>Observability Report</t>
        </is>
      </c>
      <c r="K35" s="31" t="inlineStr">
        <is>
          <t>High</t>
        </is>
      </c>
    </row>
    <row r="36">
      <c r="A36" s="29" t="inlineStr">
        <is>
          <t>A34</t>
        </is>
      </c>
      <c r="B36" s="30" t="inlineStr">
        <is>
          <t>PC/Web</t>
        </is>
      </c>
      <c r="C36" s="30" t="inlineStr">
        <is>
          <t>Browser compatibility</t>
        </is>
      </c>
      <c r="D36" s="30" t="inlineStr">
        <is>
          <t>Перевірити desktop/web runtime</t>
        </is>
      </c>
      <c r="E36" s="30" t="inlineStr">
        <is>
          <t>Chrome, Edge, Firefox; supported versions</t>
        </is>
      </c>
      <c r="F36" s="30" t="inlineStr">
        <is>
          <t>Кожен RC</t>
        </is>
      </c>
      <c r="G36" s="30" t="inlineStr">
        <is>
          <t>Browser matrix</t>
        </is>
      </c>
      <c r="H36" s="30" t="inlineStr">
        <is>
          <t>Semi-automated</t>
        </is>
      </c>
      <c r="I36" s="30" t="inlineStr">
        <is>
          <t>Critical flows pass on supported browsers</t>
        </is>
      </c>
      <c r="J36" s="30" t="inlineStr">
        <is>
          <t>Browser Compatibility Report</t>
        </is>
      </c>
      <c r="K36" s="31" t="inlineStr">
        <is>
          <t>High</t>
        </is>
      </c>
    </row>
    <row r="37">
      <c r="A37" s="29" t="inlineStr">
        <is>
          <t>A35</t>
        </is>
      </c>
      <c r="B37" s="30" t="inlineStr">
        <is>
          <t>PC/Web</t>
        </is>
      </c>
      <c r="C37" s="30" t="inlineStr">
        <is>
          <t>Resolution / DPI / scaling audit</t>
        </is>
      </c>
      <c r="D37" s="30" t="inlineStr">
        <is>
          <t>Перевірити різні екрани Windows</t>
        </is>
      </c>
      <c r="E37" s="30" t="inlineStr">
        <is>
          <t>1366×768→4K, 100–200% scaling, zoom</t>
        </is>
      </c>
      <c r="F37" s="30" t="inlineStr">
        <is>
          <t>Кожен RC</t>
        </is>
      </c>
      <c r="G37" s="30" t="inlineStr">
        <is>
          <t>Windows display matrix</t>
        </is>
      </c>
      <c r="H37" s="30" t="inlineStr">
        <is>
          <t>Manual</t>
        </is>
      </c>
      <c r="I37" s="30" t="inlineStr">
        <is>
          <t>No clipped critical controls</t>
        </is>
      </c>
      <c r="J37" s="30" t="inlineStr">
        <is>
          <t>Display Compatibility Report</t>
        </is>
      </c>
      <c r="K37" s="31" t="inlineStr">
        <is>
          <t>High</t>
        </is>
      </c>
    </row>
    <row r="38">
      <c r="A38" s="29" t="inlineStr">
        <is>
          <t>A36</t>
        </is>
      </c>
      <c r="B38" s="30" t="inlineStr">
        <is>
          <t>PC/Web</t>
        </is>
      </c>
      <c r="C38" s="30" t="inlineStr">
        <is>
          <t>Keyboard / mouse usability</t>
        </is>
      </c>
      <c r="D38" s="30" t="inlineStr">
        <is>
          <t>Перевірити desktop interactions</t>
        </is>
      </c>
      <c r="E38" s="30" t="inlineStr">
        <is>
          <t>Tab focus, Enter/Escape, shortcuts, mouse wheel</t>
        </is>
      </c>
      <c r="F38" s="30" t="inlineStr">
        <is>
          <t>Кожен RC</t>
        </is>
      </c>
      <c r="G38" s="30" t="inlineStr">
        <is>
          <t>Manual / accessibility tools</t>
        </is>
      </c>
      <c r="H38" s="30" t="inlineStr">
        <is>
          <t>Manual</t>
        </is>
      </c>
      <c r="I38" s="30" t="inlineStr">
        <is>
          <t>All core flows usable</t>
        </is>
      </c>
      <c r="J38" s="30" t="inlineStr">
        <is>
          <t>Input UX Report</t>
        </is>
      </c>
      <c r="K38" s="31" t="inlineStr">
        <is>
          <t>Medium</t>
        </is>
      </c>
    </row>
    <row r="39">
      <c r="A39" s="29" t="inlineStr">
        <is>
          <t>A37</t>
        </is>
      </c>
      <c r="B39" s="30" t="inlineStr">
        <is>
          <t>PC/Web</t>
        </is>
      </c>
      <c r="C39" s="30" t="inlineStr">
        <is>
          <t>Filesystem/path compatibility</t>
        </is>
      </c>
      <c r="D39" s="30" t="inlineStr">
        <is>
          <t>Перевірити реальні Windows paths</t>
        </is>
      </c>
      <c r="E39" s="30" t="inlineStr">
        <is>
          <t>Spaces, Cyrillic/Unicode, long paths, read-only dirs</t>
        </is>
      </c>
      <c r="F39" s="30" t="inlineStr">
        <is>
          <t>Перед MVP</t>
        </is>
      </c>
      <c r="G39" s="30" t="inlineStr">
        <is>
          <t>Fixture paths/files</t>
        </is>
      </c>
      <c r="H39" s="30" t="inlineStr">
        <is>
          <t>Semi-automated</t>
        </is>
      </c>
      <c r="I39" s="30" t="inlineStr">
        <is>
          <t>No path/encoding failures</t>
        </is>
      </c>
      <c r="J39" s="30" t="inlineStr">
        <is>
          <t>Filesystem Report</t>
        </is>
      </c>
      <c r="K39" s="31" t="inlineStr">
        <is>
          <t>High</t>
        </is>
      </c>
    </row>
    <row r="40">
      <c r="A40" s="29" t="inlineStr">
        <is>
          <t>A38</t>
        </is>
      </c>
      <c r="B40" s="30" t="inlineStr">
        <is>
          <t>PC/Web</t>
        </is>
      </c>
      <c r="C40" s="30" t="inlineStr">
        <is>
          <t>Windows security environment</t>
        </is>
      </c>
      <c r="D40" s="30" t="inlineStr">
        <is>
          <t>Перевірити роботу з Defender/firewall/UAC</t>
        </is>
      </c>
      <c r="E40" s="30" t="inlineStr">
        <is>
          <t>Standard user, UAC, blocked network, controlled folders</t>
        </is>
      </c>
      <c r="F40" s="30" t="inlineStr">
        <is>
          <t>Перед MVP</t>
        </is>
      </c>
      <c r="G40" s="30" t="inlineStr">
        <is>
          <t>Windows VM / policy scenarios</t>
        </is>
      </c>
      <c r="H40" s="30" t="inlineStr">
        <is>
          <t>Manual</t>
        </is>
      </c>
      <c r="I40" s="30" t="inlineStr">
        <is>
          <t>Graceful handling; no admin dependency unless required</t>
        </is>
      </c>
      <c r="J40" s="30" t="inlineStr">
        <is>
          <t>Windows Env Report</t>
        </is>
      </c>
      <c r="K40" s="31" t="inlineStr">
        <is>
          <t>High</t>
        </is>
      </c>
    </row>
    <row r="41">
      <c r="A41" s="29" t="inlineStr">
        <is>
          <t>A39</t>
        </is>
      </c>
      <c r="B41" s="30" t="inlineStr">
        <is>
          <t>PC/Web</t>
        </is>
      </c>
      <c r="C41" s="30" t="inlineStr">
        <is>
          <t>Multi-monitor / window-state testing</t>
        </is>
      </c>
      <c r="D41" s="30" t="inlineStr">
        <is>
          <t>Перевірити desktop layout</t>
        </is>
      </c>
      <c r="E41" s="30" t="inlineStr">
        <is>
          <t>Two monitors, different DPI, resize, maximize/restore</t>
        </is>
      </c>
      <c r="F41" s="30" t="inlineStr">
        <is>
          <t>Перед MVP</t>
        </is>
      </c>
      <c r="G41" s="30" t="inlineStr">
        <is>
          <t>Manual matrix</t>
        </is>
      </c>
      <c r="H41" s="30" t="inlineStr">
        <is>
          <t>Manual</t>
        </is>
      </c>
      <c r="I41" s="30" t="inlineStr">
        <is>
          <t>No lost/off-screen dialogs</t>
        </is>
      </c>
      <c r="J41" s="30" t="inlineStr">
        <is>
          <t>Windowing Report</t>
        </is>
      </c>
      <c r="K41" s="31" t="inlineStr">
        <is>
          <t>Medium</t>
        </is>
      </c>
    </row>
    <row r="42">
      <c r="A42" s="29" t="inlineStr">
        <is>
          <t>A40</t>
        </is>
      </c>
      <c r="B42" s="30" t="inlineStr">
        <is>
          <t>Android</t>
        </is>
      </c>
      <c r="C42" s="30" t="inlineStr">
        <is>
          <t>Android lifecycle testing</t>
        </is>
      </c>
      <c r="D42" s="30" t="inlineStr">
        <is>
          <t>Не втрачати стан при lifecycle events</t>
        </is>
      </c>
      <c r="E42" s="30" t="inlineStr">
        <is>
          <t>Background/foreground, rotate, lock/unlock, process kill</t>
        </is>
      </c>
      <c r="F42" s="30" t="inlineStr">
        <is>
          <t>Кожен RC</t>
        </is>
      </c>
      <c r="G42" s="30" t="inlineStr">
        <is>
          <t>ADB + manual/Appium</t>
        </is>
      </c>
      <c r="H42" s="30" t="inlineStr">
        <is>
          <t>Semi-automated</t>
        </is>
      </c>
      <c r="I42" s="30" t="inlineStr">
        <is>
          <t>No crash/data loss; valid restoration</t>
        </is>
      </c>
      <c r="J42" s="30" t="inlineStr">
        <is>
          <t>Lifecycle Report</t>
        </is>
      </c>
      <c r="K42" s="31" t="inlineStr">
        <is>
          <t>Critical</t>
        </is>
      </c>
    </row>
    <row r="43">
      <c r="A43" s="29" t="inlineStr">
        <is>
          <t>A41</t>
        </is>
      </c>
      <c r="B43" s="30" t="inlineStr">
        <is>
          <t>Android</t>
        </is>
      </c>
      <c r="C43" s="30" t="inlineStr">
        <is>
          <t>Permission-state testing</t>
        </is>
      </c>
      <c r="D43" s="30" t="inlineStr">
        <is>
          <t>Коректно обробляти дозволи</t>
        </is>
      </c>
      <c r="E43" s="30" t="inlineStr">
        <is>
          <t>Allow, deny, deny permanently, revoke later, one-time</t>
        </is>
      </c>
      <c r="F43" s="30" t="inlineStr">
        <is>
          <t>Кожен RC</t>
        </is>
      </c>
      <c r="G43" s="30" t="inlineStr">
        <is>
          <t>ADB/settings/manual</t>
        </is>
      </c>
      <c r="H43" s="30" t="inlineStr">
        <is>
          <t>Semi-automated</t>
        </is>
      </c>
      <c r="I43" s="30" t="inlineStr">
        <is>
          <t>No crash; actionable UX</t>
        </is>
      </c>
      <c r="J43" s="30" t="inlineStr">
        <is>
          <t>Permissions Report</t>
        </is>
      </c>
      <c r="K43" s="31" t="inlineStr">
        <is>
          <t>Critical</t>
        </is>
      </c>
    </row>
    <row r="44">
      <c r="A44" s="29" t="inlineStr">
        <is>
          <t>A42</t>
        </is>
      </c>
      <c r="B44" s="30" t="inlineStr">
        <is>
          <t>Android</t>
        </is>
      </c>
      <c r="C44" s="30" t="inlineStr">
        <is>
          <t>Device/OS compatibility</t>
        </is>
      </c>
      <c r="D44" s="30" t="inlineStr">
        <is>
          <t>Перевірити заявлену матрицю пристроїв</t>
        </is>
      </c>
      <c r="E44" s="30" t="inlineStr">
        <is>
          <t>Small/large phones, OEM skins, min→target Android</t>
        </is>
      </c>
      <c r="F44" s="30" t="inlineStr">
        <is>
          <t>Кожен RC</t>
        </is>
      </c>
      <c r="G44" s="30" t="inlineStr">
        <is>
          <t>Emulators + physical devices</t>
        </is>
      </c>
      <c r="H44" s="30" t="inlineStr">
        <is>
          <t>Semi-automated</t>
        </is>
      </c>
      <c r="I44" s="30" t="inlineStr">
        <is>
          <t>Core flows pass on support matrix</t>
        </is>
      </c>
      <c r="J44" s="30" t="inlineStr">
        <is>
          <t>Compatibility Matrix</t>
        </is>
      </c>
      <c r="K44" s="31" t="inlineStr">
        <is>
          <t>Critical</t>
        </is>
      </c>
    </row>
    <row r="45">
      <c r="A45" s="29" t="inlineStr">
        <is>
          <t>A43</t>
        </is>
      </c>
      <c r="B45" s="30" t="inlineStr">
        <is>
          <t>Android</t>
        </is>
      </c>
      <c r="C45" s="30" t="inlineStr">
        <is>
          <t>WebView/Capacitor compatibility</t>
        </is>
      </c>
      <c r="D45" s="30" t="inlineStr">
        <is>
          <t>Перевірити hybrid runtime</t>
        </is>
      </c>
      <c r="E45" s="30" t="inlineStr">
        <is>
          <t>WebView updates, plugins, navigation, file APIs, bridges</t>
        </is>
      </c>
      <c r="F45" s="30" t="inlineStr">
        <is>
          <t>Кожен RC</t>
        </is>
      </c>
      <c r="G45" s="30" t="inlineStr">
        <is>
          <t>Android System WebView matrix</t>
        </is>
      </c>
      <c r="H45" s="30" t="inlineStr">
        <is>
          <t>Manual</t>
        </is>
      </c>
      <c r="I45" s="30" t="inlineStr">
        <is>
          <t>No bridge/plugin regressions</t>
        </is>
      </c>
      <c r="J45" s="30" t="inlineStr">
        <is>
          <t>WebView Report</t>
        </is>
      </c>
      <c r="K45" s="31" t="inlineStr">
        <is>
          <t>Critical</t>
        </is>
      </c>
    </row>
    <row r="46">
      <c r="A46" s="29" t="inlineStr">
        <is>
          <t>A44</t>
        </is>
      </c>
      <c r="B46" s="30" t="inlineStr">
        <is>
          <t>Android</t>
        </is>
      </c>
      <c r="C46" s="30" t="inlineStr">
        <is>
          <t>Insets / navigation / rotation</t>
        </is>
      </c>
      <c r="D46" s="30" t="inlineStr">
        <is>
          <t>Не ховати UI системними панелями</t>
        </is>
      </c>
      <c r="E46" s="30" t="inlineStr">
        <is>
          <t>Gesture nav, 3-button nav, cutout, keyboard, portrait/landscape</t>
        </is>
      </c>
      <c r="F46" s="30" t="inlineStr">
        <is>
          <t>Кожен RC</t>
        </is>
      </c>
      <c r="G46" s="30" t="inlineStr">
        <is>
          <t>Emulator/device visual matrix</t>
        </is>
      </c>
      <c r="H46" s="30" t="inlineStr">
        <is>
          <t>Manual</t>
        </is>
      </c>
      <c r="I46" s="30" t="inlineStr">
        <is>
          <t>Critical controls always reachable</t>
        </is>
      </c>
      <c r="J46" s="30" t="inlineStr">
        <is>
          <t>Layout Insets Report</t>
        </is>
      </c>
      <c r="K46" s="31" t="inlineStr">
        <is>
          <t>High</t>
        </is>
      </c>
    </row>
    <row r="47">
      <c r="A47" s="29" t="inlineStr">
        <is>
          <t>A45</t>
        </is>
      </c>
      <c r="B47" s="30" t="inlineStr">
        <is>
          <t>Android</t>
        </is>
      </c>
      <c r="C47" s="30" t="inlineStr">
        <is>
          <t>Battery / background analysis</t>
        </is>
      </c>
      <c r="D47" s="30" t="inlineStr">
        <is>
          <t>Контролювати battery drain</t>
        </is>
      </c>
      <c r="E47" s="30" t="inlineStr">
        <is>
          <t>Background tasks, GPS/Bluetooth/network, wakelocks, idle</t>
        </is>
      </c>
      <c r="F47" s="30" t="inlineStr">
        <is>
          <t>Перед MVP</t>
        </is>
      </c>
      <c r="G47" s="30" t="inlineStr">
        <is>
          <t>Battery Historian / profiler</t>
        </is>
      </c>
      <c r="H47" s="30" t="inlineStr">
        <is>
          <t>Manual</t>
        </is>
      </c>
      <c r="I47" s="30" t="inlineStr">
        <is>
          <t>No abnormal idle drain</t>
        </is>
      </c>
      <c r="J47" s="30" t="inlineStr">
        <is>
          <t>Battery Report</t>
        </is>
      </c>
      <c r="K47" s="31" t="inlineStr">
        <is>
          <t>High</t>
        </is>
      </c>
    </row>
    <row r="48">
      <c r="A48" s="29" t="inlineStr">
        <is>
          <t>A46</t>
        </is>
      </c>
      <c r="B48" s="30" t="inlineStr">
        <is>
          <t>Android</t>
        </is>
      </c>
      <c r="C48" s="30" t="inlineStr">
        <is>
          <t>Doze / app standby testing</t>
        </is>
      </c>
      <c r="D48" s="30" t="inlineStr">
        <is>
          <t>Перевірити фон і відкладені задачі</t>
        </is>
      </c>
      <c r="E48" s="30" t="inlineStr">
        <is>
          <t>Doze, standby, battery saver, delayed jobs, reconnect</t>
        </is>
      </c>
      <c r="F48" s="30" t="inlineStr">
        <is>
          <t>Перед MVP</t>
        </is>
      </c>
      <c r="G48" s="30" t="inlineStr">
        <is>
          <t>ADB doze commands</t>
        </is>
      </c>
      <c r="H48" s="30" t="inlineStr">
        <is>
          <t>Manual</t>
        </is>
      </c>
      <c r="I48" s="30" t="inlineStr">
        <is>
          <t>No data loss; expected deferred behavior</t>
        </is>
      </c>
      <c r="J48" s="30" t="inlineStr">
        <is>
          <t>Doze Report</t>
        </is>
      </c>
      <c r="K48" s="31" t="inlineStr">
        <is>
          <t>High</t>
        </is>
      </c>
    </row>
    <row r="49">
      <c r="A49" s="29" t="inlineStr">
        <is>
          <t>A47</t>
        </is>
      </c>
      <c r="B49" s="30" t="inlineStr">
        <is>
          <t>Android</t>
        </is>
      </c>
      <c r="C49" s="30" t="inlineStr">
        <is>
          <t>Low-memory / process-death testing</t>
        </is>
      </c>
      <c r="D49" s="30" t="inlineStr">
        <is>
          <t>Перевірити відновлення після OS kill</t>
        </is>
      </c>
      <c r="E49" s="30" t="inlineStr">
        <is>
          <t>Don't keep activities, low RAM, restore navigation/form state</t>
        </is>
      </c>
      <c r="F49" s="30" t="inlineStr">
        <is>
          <t>Кожен RC</t>
        </is>
      </c>
      <c r="G49" s="30" t="inlineStr">
        <is>
          <t>Developer options + ADB</t>
        </is>
      </c>
      <c r="H49" s="30" t="inlineStr">
        <is>
          <t>Manual</t>
        </is>
      </c>
      <c r="I49" s="30" t="inlineStr">
        <is>
          <t>No corrupted state</t>
        </is>
      </c>
      <c r="J49" s="30" t="inlineStr">
        <is>
          <t>Low-memory Report</t>
        </is>
      </c>
      <c r="K49" s="31" t="inlineStr">
        <is>
          <t>Critical</t>
        </is>
      </c>
    </row>
    <row r="50">
      <c r="A50" s="29" t="inlineStr">
        <is>
          <t>A48</t>
        </is>
      </c>
      <c r="B50" s="30" t="inlineStr">
        <is>
          <t>Android</t>
        </is>
      </c>
      <c r="C50" s="30" t="inlineStr">
        <is>
          <t>APK/AAB install/upgrade testing</t>
        </is>
      </c>
      <c r="D50" s="30" t="inlineStr">
        <is>
          <t>Гарантувати коректну доставку build</t>
        </is>
      </c>
      <c r="E50" s="30" t="inlineStr">
        <is>
          <t>Fresh install, upgrade, reinstall, clear cache/data</t>
        </is>
      </c>
      <c r="F50" s="30" t="inlineStr">
        <is>
          <t>Кожен RC</t>
        </is>
      </c>
      <c r="G50" s="30" t="inlineStr">
        <is>
          <t>ADB/Play internal test</t>
        </is>
      </c>
      <c r="H50" s="30" t="inlineStr">
        <is>
          <t>Semi-automated</t>
        </is>
      </c>
      <c r="I50" s="30" t="inlineStr">
        <is>
          <t>Install/upgrade critical paths pass=100%</t>
        </is>
      </c>
      <c r="J50" s="30" t="inlineStr">
        <is>
          <t>Install/Upgrade Report</t>
        </is>
      </c>
      <c r="K50" s="31" t="inlineStr">
        <is>
          <t>Critical</t>
        </is>
      </c>
    </row>
    <row r="51">
      <c r="A51" s="29" t="inlineStr">
        <is>
          <t>A49</t>
        </is>
      </c>
      <c r="B51" s="30" t="inlineStr">
        <is>
          <t>Android</t>
        </is>
      </c>
      <c r="C51" s="30" t="inlineStr">
        <is>
          <t>Signing / release audit</t>
        </is>
      </c>
      <c r="D51" s="30" t="inlineStr">
        <is>
          <t>Перевірити release identity</t>
        </is>
      </c>
      <c r="E51" s="30" t="inlineStr">
        <is>
          <t>applicationId, versionCode, signing key, debug flag, minify rules</t>
        </is>
      </c>
      <c r="F51" s="30" t="inlineStr">
        <is>
          <t>Кожен release</t>
        </is>
      </c>
      <c r="G51" s="30" t="inlineStr">
        <is>
          <t>Gradle/apksigner/bundletool</t>
        </is>
      </c>
      <c r="H51" s="30" t="inlineStr">
        <is>
          <t>Semi-automated</t>
        </is>
      </c>
      <c r="I51" s="30" t="inlineStr">
        <is>
          <t>Release signed; debug artifacts absent</t>
        </is>
      </c>
      <c r="J51" s="30" t="inlineStr">
        <is>
          <t>Signing Report</t>
        </is>
      </c>
      <c r="K51" s="31" t="inlineStr">
        <is>
          <t>Critical</t>
        </is>
      </c>
    </row>
    <row r="52">
      <c r="A52" s="29" t="inlineStr">
        <is>
          <t>A50</t>
        </is>
      </c>
      <c r="B52" s="30" t="inlineStr">
        <is>
          <t>Android</t>
        </is>
      </c>
      <c r="C52" s="30" t="inlineStr">
        <is>
          <t>Mobile network transition testing</t>
        </is>
      </c>
      <c r="D52" s="30" t="inlineStr">
        <is>
          <t>Перевірити Wi-Fi↔cellular↔offline</t>
        </is>
      </c>
      <c r="E52" s="30" t="inlineStr">
        <is>
          <t>Network change during upload/sync/AI request</t>
        </is>
      </c>
      <c r="F52" s="30" t="inlineStr">
        <is>
          <t>Кожен RC</t>
        </is>
      </c>
      <c r="G52" s="30" t="inlineStr">
        <is>
          <t>Network toggles/proxy</t>
        </is>
      </c>
      <c r="H52" s="30" t="inlineStr">
        <is>
          <t>Manual</t>
        </is>
      </c>
      <c r="I52" s="30" t="inlineStr">
        <is>
          <t>No stuck state or duplicate action</t>
        </is>
      </c>
      <c r="J52" s="30" t="inlineStr">
        <is>
          <t>Mobile Network Report</t>
        </is>
      </c>
      <c r="K52" s="31" t="inlineStr">
        <is>
          <t>High</t>
        </is>
      </c>
    </row>
    <row r="53">
      <c r="A53" s="29" t="inlineStr">
        <is>
          <t>A51</t>
        </is>
      </c>
      <c r="B53" s="30" t="inlineStr">
        <is>
          <t>Android</t>
        </is>
      </c>
      <c r="C53" s="30" t="inlineStr">
        <is>
          <t>Notification/deep-link testing</t>
        </is>
      </c>
      <c r="D53" s="30" t="inlineStr">
        <is>
          <t>Перевірити зовнішні входи в app</t>
        </is>
      </c>
      <c r="E53" s="30" t="inlineStr">
        <is>
          <t>Cold/warm deep link, notification tap, invalid target</t>
        </is>
      </c>
      <c r="F53" s="30" t="inlineStr">
        <is>
          <t>Якщо feature існує</t>
        </is>
      </c>
      <c r="G53" s="30" t="inlineStr">
        <is>
          <t>ADB/intent tests</t>
        </is>
      </c>
      <c r="H53" s="30" t="inlineStr">
        <is>
          <t>Semi-automated</t>
        </is>
      </c>
      <c r="I53" s="30" t="inlineStr">
        <is>
          <t>Correct route; safe fallback</t>
        </is>
      </c>
      <c r="J53" s="30" t="inlineStr">
        <is>
          <t>Deep-link Report</t>
        </is>
      </c>
      <c r="K53" s="31" t="inlineStr">
        <is>
          <t>Medium</t>
        </is>
      </c>
    </row>
    <row r="54">
      <c r="A54" s="29" t="inlineStr">
        <is>
          <t>A52</t>
        </is>
      </c>
      <c r="B54" s="30" t="inlineStr">
        <is>
          <t>AI/RAG</t>
        </is>
      </c>
      <c r="C54" s="30" t="inlineStr">
        <is>
          <t>RAG retrieval evaluation</t>
        </is>
      </c>
      <c r="D54" s="30" t="inlineStr">
        <is>
          <t>Перевірити, чи дістається правильне джерело</t>
        </is>
      </c>
      <c r="E54" s="30" t="inlineStr">
        <is>
          <t>Known-answer queries, multi-source, no-answer cases</t>
        </is>
      </c>
      <c r="F54" s="30" t="inlineStr">
        <is>
          <t>Перед MVP якщо є AI/RAG</t>
        </is>
      </c>
      <c r="G54" s="30" t="inlineStr">
        <is>
          <t>Golden dataset + recall metrics</t>
        </is>
      </c>
      <c r="H54" s="30" t="inlineStr">
        <is>
          <t>Automated</t>
        </is>
      </c>
      <c r="I54" s="30" t="inlineStr">
        <is>
          <t>Critical source recall meets target</t>
        </is>
      </c>
      <c r="J54" s="30" t="inlineStr">
        <is>
          <t>RAG Retrieval Report</t>
        </is>
      </c>
      <c r="K54" s="31" t="inlineStr">
        <is>
          <t>Critical</t>
        </is>
      </c>
    </row>
    <row r="55">
      <c r="A55" s="29" t="inlineStr">
        <is>
          <t>A53</t>
        </is>
      </c>
      <c r="B55" s="30" t="inlineStr">
        <is>
          <t>AI/RAG</t>
        </is>
      </c>
      <c r="C55" s="30" t="inlineStr">
        <is>
          <t>Citation / groundedness audit</t>
        </is>
      </c>
      <c r="D55" s="30" t="inlineStr">
        <is>
          <t>Перевірити, що відповідь підтверджена джерелом</t>
        </is>
      </c>
      <c r="E55" s="30" t="inlineStr">
        <is>
          <t>Claim↔citation mapping, stale/irrelevant citation, source conflict</t>
        </is>
      </c>
      <c r="F55" s="30" t="inlineStr">
        <is>
          <t>Перед MVP</t>
        </is>
      </c>
      <c r="G55" s="30" t="inlineStr">
        <is>
          <t>Golden Q/A + reviewer</t>
        </is>
      </c>
      <c r="H55" s="30" t="inlineStr">
        <is>
          <t>Semi-automated</t>
        </is>
      </c>
      <c r="I55" s="30" t="inlineStr">
        <is>
          <t>Unsupported critical claims=0</t>
        </is>
      </c>
      <c r="J55" s="30" t="inlineStr">
        <is>
          <t>Groundedness Report</t>
        </is>
      </c>
      <c r="K55" s="31" t="inlineStr">
        <is>
          <t>Critical</t>
        </is>
      </c>
    </row>
    <row r="56">
      <c r="A56" s="29" t="inlineStr">
        <is>
          <t>A54</t>
        </is>
      </c>
      <c r="B56" s="30" t="inlineStr">
        <is>
          <t>AI/RAG</t>
        </is>
      </c>
      <c r="C56" s="30" t="inlineStr">
        <is>
          <t>Prompt injection / hostile document test</t>
        </is>
      </c>
      <c r="D56" s="30" t="inlineStr">
        <is>
          <t>Не дозволити контенту керувати агентом</t>
        </is>
      </c>
      <c r="E56" s="30" t="inlineStr">
        <is>
          <t>Malicious instructions in files/web/RAG chunks</t>
        </is>
      </c>
      <c r="F56" s="30" t="inlineStr">
        <is>
          <t>Перед MVP</t>
        </is>
      </c>
      <c r="G56" s="30" t="inlineStr">
        <is>
          <t>Injection test corpus</t>
        </is>
      </c>
      <c r="H56" s="30" t="inlineStr">
        <is>
          <t>Semi-automated</t>
        </is>
      </c>
      <c r="I56" s="30" t="inlineStr">
        <is>
          <t>No unauthorized instruction following</t>
        </is>
      </c>
      <c r="J56" s="30" t="inlineStr">
        <is>
          <t>AI Security Report</t>
        </is>
      </c>
      <c r="K56" s="31" t="inlineStr">
        <is>
          <t>Critical</t>
        </is>
      </c>
    </row>
    <row r="57">
      <c r="A57" s="29" t="inlineStr">
        <is>
          <t>A55</t>
        </is>
      </c>
      <c r="B57" s="30" t="inlineStr">
        <is>
          <t>AI/RAG</t>
        </is>
      </c>
      <c r="C57" s="30" t="inlineStr">
        <is>
          <t>Hallucination / abstention testing</t>
        </is>
      </c>
      <c r="D57" s="30" t="inlineStr">
        <is>
          <t>Перевірити чесну поведінку при відсутності даних</t>
        </is>
      </c>
      <c r="E57" s="30" t="inlineStr">
        <is>
          <t>Unknown questions, conflicting sources, ambiguous telemetry</t>
        </is>
      </c>
      <c r="F57" s="30" t="inlineStr">
        <is>
          <t>Перед MVP</t>
        </is>
      </c>
      <c r="G57" s="30" t="inlineStr">
        <is>
          <t>Adversarial QA set</t>
        </is>
      </c>
      <c r="H57" s="30" t="inlineStr">
        <is>
          <t>Semi-automated</t>
        </is>
      </c>
      <c r="I57" s="30" t="inlineStr">
        <is>
          <t>Critical hallucinations=0</t>
        </is>
      </c>
      <c r="J57" s="30" t="inlineStr">
        <is>
          <t>Hallucination Report</t>
        </is>
      </c>
      <c r="K57" s="31" t="inlineStr">
        <is>
          <t>Critical</t>
        </is>
      </c>
    </row>
    <row r="58">
      <c r="A58" s="29" t="inlineStr">
        <is>
          <t>A56</t>
        </is>
      </c>
      <c r="B58" s="30" t="inlineStr">
        <is>
          <t>Release</t>
        </is>
      </c>
      <c r="C58" s="30" t="inlineStr">
        <is>
          <t>User Acceptance Testing (UAT)</t>
        </is>
      </c>
      <c r="D58" s="30" t="inlineStr">
        <is>
          <t>Перевірити продукт на реальних користувачах</t>
        </is>
      </c>
      <c r="E58" s="30" t="inlineStr">
        <is>
          <t>Top tasks without guidance, error recovery, satisfaction/blockers</t>
        </is>
      </c>
      <c r="F58" s="30" t="inlineStr">
        <is>
          <t>Фінальний етап</t>
        </is>
      </c>
      <c r="G58" s="30" t="inlineStr">
        <is>
          <t>3–10 representative users</t>
        </is>
      </c>
      <c r="H58" s="30" t="inlineStr">
        <is>
          <t>Manual</t>
        </is>
      </c>
      <c r="I58" s="30" t="inlineStr">
        <is>
          <t>No P0/P1 UAT blockers</t>
        </is>
      </c>
      <c r="J58" s="30" t="inlineStr">
        <is>
          <t>UAT Report</t>
        </is>
      </c>
      <c r="K58" s="31" t="inlineStr">
        <is>
          <t>Critical</t>
        </is>
      </c>
    </row>
    <row r="59">
      <c r="A59" s="32" t="inlineStr">
        <is>
          <t>A57</t>
        </is>
      </c>
      <c r="B59" s="33" t="inlineStr">
        <is>
          <t>Release</t>
        </is>
      </c>
      <c r="C59" s="33" t="inlineStr">
        <is>
          <t>Release Readiness Audit</t>
        </is>
      </c>
      <c r="D59" s="33" t="inlineStr">
        <is>
          <t>Прийняти формальне рішення про RC</t>
        </is>
      </c>
      <c r="E59" s="33" t="inlineStr">
        <is>
          <t>Open defects, gate metrics, artifacts, signing, backups, rollback</t>
        </is>
      </c>
      <c r="F59" s="33" t="inlineStr">
        <is>
          <t>Перед публікацією</t>
        </is>
      </c>
      <c r="G59" s="33" t="inlineStr">
        <is>
          <t>Release checklist + dashboard</t>
        </is>
      </c>
      <c r="H59" s="33" t="inlineStr">
        <is>
          <t>Manual</t>
        </is>
      </c>
      <c r="I59" s="33" t="inlineStr">
        <is>
          <t>All blocking gates PASS</t>
        </is>
      </c>
      <c r="J59" s="33" t="inlineStr">
        <is>
          <t>Release Readiness Report</t>
        </is>
      </c>
      <c r="K59" s="34" t="inlineStr">
        <is>
          <t>Critical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cols>
    <col width="10" customWidth="1" style="16" min="1" max="1"/>
    <col width="15" customWidth="1" style="16" min="2" max="2"/>
    <col width="15" customWidth="1" style="16" min="3" max="3"/>
    <col width="24" customWidth="1" style="16" min="4" max="4"/>
    <col width="20" customWidth="1" style="16" min="5" max="5"/>
    <col width="34" customWidth="1" style="16" min="6" max="6"/>
    <col width="56" customWidth="1" style="16" min="7" max="7"/>
    <col width="48" customWidth="1" style="16" min="8" max="8"/>
    <col width="24" customWidth="1" style="16" min="9" max="9"/>
    <col width="16" customWidth="1" style="16" min="10" max="10"/>
    <col width="10" customWidth="1" style="16" min="11" max="11"/>
    <col width="16" customWidth="1" style="16" min="12" max="12"/>
    <col width="10" customWidth="1" style="16" min="13" max="13"/>
    <col width="14" customWidth="1" style="16" min="14" max="14"/>
    <col width="14" customWidth="1" style="16" min="15" max="15"/>
    <col width="28" customWidth="1" style="16" min="16" max="16"/>
    <col width="14" customWidth="1" style="16" min="17" max="17"/>
    <col width="14" customWidth="1" style="16" min="18" max="18"/>
    <col width="28" customWidth="1" style="16" min="19" max="19"/>
    <col width="20" customWidth="1" style="16" min="20" max="20"/>
  </cols>
  <sheetData>
    <row r="1">
      <c r="A1" s="154" t="inlineStr">
        <is>
          <t>MVP Test Matrix — конкретні перевірки PC/Web, Android і Cross-platform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</row>
    <row r="2">
      <c r="A2" s="12" t="inlineStr">
        <is>
          <t>Test ID</t>
        </is>
      </c>
      <c r="B2" s="13" t="inlineStr">
        <is>
          <t>Platform</t>
        </is>
      </c>
      <c r="C2" s="13" t="inlineStr">
        <is>
          <t>Stage</t>
        </is>
      </c>
      <c r="D2" s="13" t="inlineStr">
        <is>
          <t>Analysis Type</t>
        </is>
      </c>
      <c r="E2" s="13" t="inlineStr">
        <is>
          <t>Subcategory</t>
        </is>
      </c>
      <c r="F2" s="13" t="inlineStr">
        <is>
          <t>Що перевірити</t>
        </is>
      </c>
      <c r="G2" s="13" t="inlineStr">
        <is>
          <t>Детальний сценарій / кроки</t>
        </is>
      </c>
      <c r="H2" s="13" t="inlineStr">
        <is>
          <t>Очікуваний результат / PASS criterion</t>
        </is>
      </c>
      <c r="I2" s="13" t="inlineStr">
        <is>
          <t>Інструменти</t>
        </is>
      </c>
      <c r="J2" s="13" t="inlineStr">
        <is>
          <t>Automation</t>
        </is>
      </c>
      <c r="K2" s="13" t="inlineStr">
        <is>
          <t>Priority</t>
        </is>
      </c>
      <c r="L2" s="13" t="inlineStr">
        <is>
          <t>Failure Severity</t>
        </is>
      </c>
      <c r="M2" s="13" t="inlineStr">
        <is>
          <t>MVP Gate</t>
        </is>
      </c>
      <c r="N2" s="13" t="inlineStr">
        <is>
          <t>Status</t>
        </is>
      </c>
      <c r="O2" s="13" t="inlineStr">
        <is>
          <t>Owner</t>
        </is>
      </c>
      <c r="P2" s="13" t="inlineStr">
        <is>
          <t>Evidence / Link</t>
        </is>
      </c>
      <c r="Q2" s="13" t="inlineStr">
        <is>
          <t>Defect ID</t>
        </is>
      </c>
      <c r="R2" s="13" t="inlineStr">
        <is>
          <t>Retest</t>
        </is>
      </c>
      <c r="S2" s="13" t="inlineStr">
        <is>
          <t>Notes</t>
        </is>
      </c>
      <c r="T2" s="14" t="inlineStr">
        <is>
          <t>Frequency</t>
        </is>
      </c>
    </row>
    <row r="3">
      <c r="A3" s="29" t="inlineStr">
        <is>
          <t>T001</t>
        </is>
      </c>
      <c r="B3" s="30" t="inlineStr">
        <is>
          <t>Cross-platform</t>
        </is>
      </c>
      <c r="C3" s="30" t="inlineStr">
        <is>
          <t>1-Code</t>
        </is>
      </c>
      <c r="D3" s="30" t="inlineStr">
        <is>
          <t>Static code analysis</t>
        </is>
      </c>
      <c r="E3" s="30" t="inlineStr">
        <is>
          <t>Lint</t>
        </is>
      </c>
      <c r="F3" s="30" t="inlineStr">
        <is>
          <t>Critical lint/type errors</t>
        </is>
      </c>
      <c r="G3" s="30" t="inlineStr">
        <is>
          <t>Запустити lint/type-check на clean checkout</t>
        </is>
      </c>
      <c r="H3" s="30" t="inlineStr">
        <is>
          <t>0 errors; warnings reviewed</t>
        </is>
      </c>
      <c r="I3" s="30" t="inlineStr">
        <is>
          <t>ESLint/TS compiler</t>
        </is>
      </c>
      <c r="J3" s="30" t="inlineStr">
        <is>
          <t>Automated</t>
        </is>
      </c>
      <c r="K3" s="30" t="inlineStr">
        <is>
          <t>P1</t>
        </is>
      </c>
      <c r="L3" s="30" t="inlineStr">
        <is>
          <t>High</t>
        </is>
      </c>
      <c r="M3" s="30" t="inlineStr">
        <is>
          <t>YES</t>
        </is>
      </c>
      <c r="N3" s="30" t="inlineStr">
        <is>
          <t>NOT STARTED</t>
        </is>
      </c>
      <c r="O3" s="30" t="str"/>
      <c r="P3" s="30" t="str"/>
      <c r="Q3" s="30" t="str"/>
      <c r="R3" s="30" t="inlineStr">
        <is>
          <t>NOT TESTED</t>
        </is>
      </c>
      <c r="S3" s="30" t="str"/>
      <c r="T3" s="31" t="inlineStr">
        <is>
          <t>Every build</t>
        </is>
      </c>
    </row>
    <row r="4">
      <c r="A4" s="29" t="inlineStr">
        <is>
          <t>T002</t>
        </is>
      </c>
      <c r="B4" s="30" t="inlineStr">
        <is>
          <t>Cross-platform</t>
        </is>
      </c>
      <c r="C4" s="30" t="inlineStr">
        <is>
          <t>1-Code</t>
        </is>
      </c>
      <c r="D4" s="30" t="inlineStr">
        <is>
          <t>Secrets audit</t>
        </is>
      </c>
      <c r="E4" s="30" t="inlineStr">
        <is>
          <t>Repository</t>
        </is>
      </c>
      <c r="F4" s="30" t="inlineStr">
        <is>
          <t>Secrets in repository/history</t>
        </is>
      </c>
      <c r="G4" s="30" t="inlineStr">
        <is>
          <t>Scan source + config + recent history for API keys/tokens</t>
        </is>
      </c>
      <c r="H4" s="30" t="inlineStr">
        <is>
          <t>No production secrets exposed</t>
        </is>
      </c>
      <c r="I4" s="30" t="inlineStr">
        <is>
          <t>Gitleaks/secret scanner</t>
        </is>
      </c>
      <c r="J4" s="30" t="inlineStr">
        <is>
          <t>Automated</t>
        </is>
      </c>
      <c r="K4" s="30" t="inlineStr">
        <is>
          <t>P0</t>
        </is>
      </c>
      <c r="L4" s="30" t="inlineStr">
        <is>
          <t>Critical</t>
        </is>
      </c>
      <c r="M4" s="30" t="inlineStr">
        <is>
          <t>YES</t>
        </is>
      </c>
      <c r="N4" s="30" t="inlineStr">
        <is>
          <t>NOT STARTED</t>
        </is>
      </c>
      <c r="O4" s="30" t="str"/>
      <c r="P4" s="30" t="str"/>
      <c r="Q4" s="30" t="str"/>
      <c r="R4" s="30" t="inlineStr">
        <is>
          <t>NOT TESTED</t>
        </is>
      </c>
      <c r="S4" s="30" t="str"/>
      <c r="T4" s="31" t="inlineStr">
        <is>
          <t>Every release</t>
        </is>
      </c>
    </row>
    <row r="5">
      <c r="A5" s="29" t="inlineStr">
        <is>
          <t>T003</t>
        </is>
      </c>
      <c r="B5" s="30" t="inlineStr">
        <is>
          <t>Cross-platform</t>
        </is>
      </c>
      <c r="C5" s="30" t="inlineStr">
        <is>
          <t>1-Code</t>
        </is>
      </c>
      <c r="D5" s="30" t="inlineStr">
        <is>
          <t>Dependency audit</t>
        </is>
      </c>
      <c r="E5" s="30" t="inlineStr">
        <is>
          <t>CVE</t>
        </is>
      </c>
      <c r="F5" s="30" t="inlineStr">
        <is>
          <t>Known vulnerable dependencies</t>
        </is>
      </c>
      <c r="G5" s="30" t="inlineStr">
        <is>
          <t>Run dependency vulnerability scan and triage reachable issues</t>
        </is>
      </c>
      <c r="H5" s="30" t="inlineStr">
        <is>
          <t>0 confirmed Critical/High exploitable issues</t>
        </is>
      </c>
      <c r="I5" s="30" t="inlineStr">
        <is>
          <t>npm audit/OSV</t>
        </is>
      </c>
      <c r="J5" s="30" t="inlineStr">
        <is>
          <t>Automated</t>
        </is>
      </c>
      <c r="K5" s="30" t="inlineStr">
        <is>
          <t>P0</t>
        </is>
      </c>
      <c r="L5" s="30" t="inlineStr">
        <is>
          <t>Critical</t>
        </is>
      </c>
      <c r="M5" s="30" t="inlineStr">
        <is>
          <t>YES</t>
        </is>
      </c>
      <c r="N5" s="30" t="inlineStr">
        <is>
          <t>NOT STARTED</t>
        </is>
      </c>
      <c r="O5" s="30" t="str"/>
      <c r="P5" s="30" t="str"/>
      <c r="Q5" s="30" t="str"/>
      <c r="R5" s="30" t="inlineStr">
        <is>
          <t>NOT TESTED</t>
        </is>
      </c>
      <c r="S5" s="30" t="str"/>
      <c r="T5" s="31" t="inlineStr">
        <is>
          <t>Every release</t>
        </is>
      </c>
    </row>
    <row r="6">
      <c r="A6" s="29" t="inlineStr">
        <is>
          <t>T004</t>
        </is>
      </c>
      <c r="B6" s="30" t="inlineStr">
        <is>
          <t>Cross-platform</t>
        </is>
      </c>
      <c r="C6" s="30" t="inlineStr">
        <is>
          <t>1-Code</t>
        </is>
      </c>
      <c r="D6" s="30" t="inlineStr">
        <is>
          <t>Architecture audit</t>
        </is>
      </c>
      <c r="E6" s="30" t="inlineStr">
        <is>
          <t>Boundaries</t>
        </is>
      </c>
      <c r="F6" s="30" t="inlineStr">
        <is>
          <t>UI/business/storage separation</t>
        </is>
      </c>
      <c r="G6" s="30" t="inlineStr">
        <is>
          <t>Trace 3 core flows; confirm no uncontrolled direct storage/API calls from UI</t>
        </is>
      </c>
      <c r="H6" s="30" t="inlineStr">
        <is>
          <t>Dependencies follow documented architecture</t>
        </is>
      </c>
      <c r="I6" s="30" t="inlineStr">
        <is>
          <t>Code review</t>
        </is>
      </c>
      <c r="J6" s="30" t="inlineStr">
        <is>
          <t>Manual</t>
        </is>
      </c>
      <c r="K6" s="30" t="inlineStr">
        <is>
          <t>P1</t>
        </is>
      </c>
      <c r="L6" s="30" t="inlineStr">
        <is>
          <t>High</t>
        </is>
      </c>
      <c r="M6" s="30" t="inlineStr">
        <is>
          <t>NO</t>
        </is>
      </c>
      <c r="N6" s="30" t="inlineStr">
        <is>
          <t>NOT STARTED</t>
        </is>
      </c>
      <c r="O6" s="30" t="str"/>
      <c r="P6" s="30" t="str"/>
      <c r="Q6" s="30" t="str"/>
      <c r="R6" s="30" t="inlineStr">
        <is>
          <t>NOT TESTED</t>
        </is>
      </c>
      <c r="S6" s="30" t="str"/>
      <c r="T6" s="31" t="inlineStr">
        <is>
          <t>Every major release</t>
        </is>
      </c>
    </row>
    <row r="7">
      <c r="A7" s="29" t="inlineStr">
        <is>
          <t>T005</t>
        </is>
      </c>
      <c r="B7" s="30" t="inlineStr">
        <is>
          <t>Cross-platform</t>
        </is>
      </c>
      <c r="C7" s="30" t="inlineStr">
        <is>
          <t>2-Build</t>
        </is>
      </c>
      <c r="D7" s="30" t="inlineStr">
        <is>
          <t>Build config audit</t>
        </is>
      </c>
      <c r="E7" s="30" t="inlineStr">
        <is>
          <t>Prod config</t>
        </is>
      </c>
      <c r="F7" s="30" t="inlineStr">
        <is>
          <t>Production endpoints and flags</t>
        </is>
      </c>
      <c r="G7" s="30" t="inlineStr">
        <is>
          <t>Build release; inspect environment, logs, dev menus, debug flags</t>
        </is>
      </c>
      <c r="H7" s="30" t="inlineStr">
        <is>
          <t>Only production-safe config active</t>
        </is>
      </c>
      <c r="I7" s="30" t="inlineStr">
        <is>
          <t>Build inspection</t>
        </is>
      </c>
      <c r="J7" s="30" t="inlineStr">
        <is>
          <t>Semi-automated</t>
        </is>
      </c>
      <c r="K7" s="30" t="inlineStr">
        <is>
          <t>P0</t>
        </is>
      </c>
      <c r="L7" s="30" t="inlineStr">
        <is>
          <t>Critical</t>
        </is>
      </c>
      <c r="M7" s="30" t="inlineStr">
        <is>
          <t>YES</t>
        </is>
      </c>
      <c r="N7" s="30" t="inlineStr">
        <is>
          <t>NOT STARTED</t>
        </is>
      </c>
      <c r="O7" s="30" t="str"/>
      <c r="P7" s="30" t="str"/>
      <c r="Q7" s="30" t="str"/>
      <c r="R7" s="30" t="inlineStr">
        <is>
          <t>NOT TESTED</t>
        </is>
      </c>
      <c r="S7" s="30" t="str"/>
      <c r="T7" s="31" t="inlineStr">
        <is>
          <t>Every release</t>
        </is>
      </c>
    </row>
    <row r="8">
      <c r="A8" s="29" t="inlineStr">
        <is>
          <t>T006</t>
        </is>
      </c>
      <c r="B8" s="30" t="inlineStr">
        <is>
          <t>Cross-platform</t>
        </is>
      </c>
      <c r="C8" s="30" t="inlineStr">
        <is>
          <t>2-Build</t>
        </is>
      </c>
      <c r="D8" s="30" t="inlineStr">
        <is>
          <t>Build reproducibility</t>
        </is>
      </c>
      <c r="E8" s="30" t="inlineStr">
        <is>
          <t>Clean build</t>
        </is>
      </c>
      <c r="F8" s="30" t="inlineStr">
        <is>
          <t>Build from clean checkout</t>
        </is>
      </c>
      <c r="G8" s="30" t="inlineStr">
        <is>
          <t>Clear caches/deps as documented; build release artifact</t>
        </is>
      </c>
      <c r="H8" s="30" t="inlineStr">
        <is>
          <t>Build succeeds without undeclared local state</t>
        </is>
      </c>
      <c r="I8" s="30" t="inlineStr">
        <is>
          <t>CI/local clean build</t>
        </is>
      </c>
      <c r="J8" s="30" t="inlineStr">
        <is>
          <t>Automated</t>
        </is>
      </c>
      <c r="K8" s="30" t="inlineStr">
        <is>
          <t>P1</t>
        </is>
      </c>
      <c r="L8" s="30" t="inlineStr">
        <is>
          <t>High</t>
        </is>
      </c>
      <c r="M8" s="30" t="inlineStr">
        <is>
          <t>YES</t>
        </is>
      </c>
      <c r="N8" s="30" t="inlineStr">
        <is>
          <t>NOT STARTED</t>
        </is>
      </c>
      <c r="O8" s="30" t="str"/>
      <c r="P8" s="30" t="str"/>
      <c r="Q8" s="30" t="str"/>
      <c r="R8" s="30" t="inlineStr">
        <is>
          <t>NOT TESTED</t>
        </is>
      </c>
      <c r="S8" s="30" t="str"/>
      <c r="T8" s="31" t="inlineStr">
        <is>
          <t>Every release</t>
        </is>
      </c>
    </row>
    <row r="9">
      <c r="A9" s="29" t="inlineStr">
        <is>
          <t>T007</t>
        </is>
      </c>
      <c r="B9" s="30" t="inlineStr">
        <is>
          <t>Cross-platform</t>
        </is>
      </c>
      <c r="C9" s="30" t="inlineStr">
        <is>
          <t>3-Core</t>
        </is>
      </c>
      <c r="D9" s="30" t="inlineStr">
        <is>
          <t>Functional audit</t>
        </is>
      </c>
      <c r="E9" s="30" t="inlineStr">
        <is>
          <t>Create</t>
        </is>
      </c>
      <c r="F9" s="30" t="inlineStr">
        <is>
          <t>Create primary record/entity</t>
        </is>
      </c>
      <c r="G9" s="30" t="inlineStr">
        <is>
          <t>Create valid record using all required fields; save; reopen</t>
        </is>
      </c>
      <c r="H9" s="30" t="inlineStr">
        <is>
          <t>Record persists exactly once with correct values</t>
        </is>
      </c>
      <c r="I9" s="30" t="inlineStr">
        <is>
          <t>Manual/E2E</t>
        </is>
      </c>
      <c r="J9" s="30" t="inlineStr">
        <is>
          <t>Semi-automated</t>
        </is>
      </c>
      <c r="K9" s="30" t="inlineStr">
        <is>
          <t>P0</t>
        </is>
      </c>
      <c r="L9" s="30" t="inlineStr">
        <is>
          <t>Critical</t>
        </is>
      </c>
      <c r="M9" s="30" t="inlineStr">
        <is>
          <t>YES</t>
        </is>
      </c>
      <c r="N9" s="30" t="inlineStr">
        <is>
          <t>NOT STARTED</t>
        </is>
      </c>
      <c r="O9" s="30" t="str"/>
      <c r="P9" s="30" t="str"/>
      <c r="Q9" s="30" t="str"/>
      <c r="R9" s="30" t="inlineStr">
        <is>
          <t>NOT TESTED</t>
        </is>
      </c>
      <c r="S9" s="30" t="str"/>
      <c r="T9" s="31" t="inlineStr">
        <is>
          <t>Every release</t>
        </is>
      </c>
    </row>
    <row r="10">
      <c r="A10" s="29" t="inlineStr">
        <is>
          <t>T008</t>
        </is>
      </c>
      <c r="B10" s="30" t="inlineStr">
        <is>
          <t>Cross-platform</t>
        </is>
      </c>
      <c r="C10" s="30" t="inlineStr">
        <is>
          <t>3-Core</t>
        </is>
      </c>
      <c r="D10" s="30" t="inlineStr">
        <is>
          <t>Functional audit</t>
        </is>
      </c>
      <c r="E10" s="30" t="inlineStr">
        <is>
          <t>Read</t>
        </is>
      </c>
      <c r="F10" s="30" t="inlineStr">
        <is>
          <t>Open list/detail of saved record</t>
        </is>
      </c>
      <c r="G10" s="30" t="inlineStr">
        <is>
          <t>Restart app; navigate to record; compare values</t>
        </is>
      </c>
      <c r="H10" s="30" t="inlineStr">
        <is>
          <t>All persisted fields correct</t>
        </is>
      </c>
      <c r="I10" s="30" t="inlineStr">
        <is>
          <t>Manual/E2E</t>
        </is>
      </c>
      <c r="J10" s="30" t="inlineStr">
        <is>
          <t>Semi-automated</t>
        </is>
      </c>
      <c r="K10" s="30" t="inlineStr">
        <is>
          <t>P0</t>
        </is>
      </c>
      <c r="L10" s="30" t="inlineStr">
        <is>
          <t>Critical</t>
        </is>
      </c>
      <c r="M10" s="30" t="inlineStr">
        <is>
          <t>YES</t>
        </is>
      </c>
      <c r="N10" s="30" t="inlineStr">
        <is>
          <t>NOT STARTED</t>
        </is>
      </c>
      <c r="O10" s="30" t="str"/>
      <c r="P10" s="30" t="str"/>
      <c r="Q10" s="30" t="str"/>
      <c r="R10" s="30" t="inlineStr">
        <is>
          <t>NOT TESTED</t>
        </is>
      </c>
      <c r="S10" s="30" t="str"/>
      <c r="T10" s="31" t="inlineStr">
        <is>
          <t>Every release</t>
        </is>
      </c>
    </row>
    <row r="11">
      <c r="A11" s="29" t="inlineStr">
        <is>
          <t>T009</t>
        </is>
      </c>
      <c r="B11" s="30" t="inlineStr">
        <is>
          <t>Cross-platform</t>
        </is>
      </c>
      <c r="C11" s="30" t="inlineStr">
        <is>
          <t>3-Core</t>
        </is>
      </c>
      <c r="D11" s="30" t="inlineStr">
        <is>
          <t>Functional audit</t>
        </is>
      </c>
      <c r="E11" s="30" t="inlineStr">
        <is>
          <t>Edit</t>
        </is>
      </c>
      <c r="F11" s="30" t="inlineStr">
        <is>
          <t>Edit primary record</t>
        </is>
      </c>
      <c r="G11" s="30" t="inlineStr">
        <is>
          <t>Change multiple fields; save; restart</t>
        </is>
      </c>
      <c r="H11" s="30" t="inlineStr">
        <is>
          <t>Only intended fields changed; persisted</t>
        </is>
      </c>
      <c r="I11" s="30" t="inlineStr">
        <is>
          <t>Manual/E2E</t>
        </is>
      </c>
      <c r="J11" s="30" t="inlineStr">
        <is>
          <t>Semi-automated</t>
        </is>
      </c>
      <c r="K11" s="30" t="inlineStr">
        <is>
          <t>P0</t>
        </is>
      </c>
      <c r="L11" s="30" t="inlineStr">
        <is>
          <t>Critical</t>
        </is>
      </c>
      <c r="M11" s="30" t="inlineStr">
        <is>
          <t>YES</t>
        </is>
      </c>
      <c r="N11" s="30" t="inlineStr">
        <is>
          <t>NOT STARTED</t>
        </is>
      </c>
      <c r="O11" s="30" t="str"/>
      <c r="P11" s="30" t="str"/>
      <c r="Q11" s="30" t="str"/>
      <c r="R11" s="30" t="inlineStr">
        <is>
          <t>NOT TESTED</t>
        </is>
      </c>
      <c r="S11" s="30" t="str"/>
      <c r="T11" s="31" t="inlineStr">
        <is>
          <t>Every release</t>
        </is>
      </c>
    </row>
    <row r="12">
      <c r="A12" s="29" t="inlineStr">
        <is>
          <t>T010</t>
        </is>
      </c>
      <c r="B12" s="30" t="inlineStr">
        <is>
          <t>Cross-platform</t>
        </is>
      </c>
      <c r="C12" s="30" t="inlineStr">
        <is>
          <t>3-Core</t>
        </is>
      </c>
      <c r="D12" s="30" t="inlineStr">
        <is>
          <t>Functional audit</t>
        </is>
      </c>
      <c r="E12" s="30" t="inlineStr">
        <is>
          <t>Delete</t>
        </is>
      </c>
      <c r="F12" s="30" t="inlineStr">
        <is>
          <t>Delete primary record</t>
        </is>
      </c>
      <c r="G12" s="30" t="inlineStr">
        <is>
          <t>Delete; confirm; restart; search for record</t>
        </is>
      </c>
      <c r="H12" s="30" t="inlineStr">
        <is>
          <t>Record absent; dependent data handled safely</t>
        </is>
      </c>
      <c r="I12" s="30" t="inlineStr">
        <is>
          <t>Manual/E2E</t>
        </is>
      </c>
      <c r="J12" s="30" t="inlineStr">
        <is>
          <t>Semi-automated</t>
        </is>
      </c>
      <c r="K12" s="30" t="inlineStr">
        <is>
          <t>P0</t>
        </is>
      </c>
      <c r="L12" s="30" t="inlineStr">
        <is>
          <t>Critical</t>
        </is>
      </c>
      <c r="M12" s="30" t="inlineStr">
        <is>
          <t>YES</t>
        </is>
      </c>
      <c r="N12" s="30" t="inlineStr">
        <is>
          <t>NOT STARTED</t>
        </is>
      </c>
      <c r="O12" s="30" t="str"/>
      <c r="P12" s="30" t="str"/>
      <c r="Q12" s="30" t="str"/>
      <c r="R12" s="30" t="inlineStr">
        <is>
          <t>NOT TESTED</t>
        </is>
      </c>
      <c r="S12" s="30" t="str"/>
      <c r="T12" s="31" t="inlineStr">
        <is>
          <t>Every release</t>
        </is>
      </c>
    </row>
    <row r="13">
      <c r="A13" s="29" t="inlineStr">
        <is>
          <t>T011</t>
        </is>
      </c>
      <c r="B13" s="30" t="inlineStr">
        <is>
          <t>Cross-platform</t>
        </is>
      </c>
      <c r="C13" s="30" t="inlineStr">
        <is>
          <t>3-Core</t>
        </is>
      </c>
      <c r="D13" s="30" t="inlineStr">
        <is>
          <t>Data integrity</t>
        </is>
      </c>
      <c r="E13" s="30" t="inlineStr">
        <is>
          <t>Duplicate action</t>
        </is>
      </c>
      <c r="F13" s="30" t="inlineStr">
        <is>
          <t>Double-click/tap Save rapidly</t>
        </is>
      </c>
      <c r="G13" s="30" t="inlineStr">
        <is>
          <t>Trigger same action repeatedly</t>
        </is>
      </c>
      <c r="H13" s="30" t="inlineStr">
        <is>
          <t>No duplicate record/request</t>
        </is>
      </c>
      <c r="I13" s="30" t="inlineStr">
        <is>
          <t>Manual/automation</t>
        </is>
      </c>
      <c r="J13" s="30" t="inlineStr">
        <is>
          <t>Semi-automated</t>
        </is>
      </c>
      <c r="K13" s="30" t="inlineStr">
        <is>
          <t>P1</t>
        </is>
      </c>
      <c r="L13" s="30" t="inlineStr">
        <is>
          <t>High</t>
        </is>
      </c>
      <c r="M13" s="30" t="inlineStr">
        <is>
          <t>YES</t>
        </is>
      </c>
      <c r="N13" s="30" t="inlineStr">
        <is>
          <t>NOT STARTED</t>
        </is>
      </c>
      <c r="O13" s="30" t="str"/>
      <c r="P13" s="30" t="str"/>
      <c r="Q13" s="30" t="str"/>
      <c r="R13" s="30" t="inlineStr">
        <is>
          <t>NOT TESTED</t>
        </is>
      </c>
      <c r="S13" s="30" t="str"/>
      <c r="T13" s="31" t="inlineStr">
        <is>
          <t>Every release</t>
        </is>
      </c>
    </row>
    <row r="14">
      <c r="A14" s="29" t="inlineStr">
        <is>
          <t>T012</t>
        </is>
      </c>
      <c r="B14" s="30" t="inlineStr">
        <is>
          <t>Cross-platform</t>
        </is>
      </c>
      <c r="C14" s="30" t="inlineStr">
        <is>
          <t>3-Core</t>
        </is>
      </c>
      <c r="D14" s="30" t="inlineStr">
        <is>
          <t>Negative testing</t>
        </is>
      </c>
      <c r="E14" s="30" t="inlineStr">
        <is>
          <t>Required fields</t>
        </is>
      </c>
      <c r="F14" s="30" t="inlineStr">
        <is>
          <t>Submit empty/invalid required inputs</t>
        </is>
      </c>
      <c r="G14" s="30" t="inlineStr">
        <is>
          <t>Try empty, whitespace-only, invalid formats</t>
        </is>
      </c>
      <c r="H14" s="30" t="inlineStr">
        <is>
          <t>Inline error; no invalid data stored</t>
        </is>
      </c>
      <c r="I14" s="30" t="inlineStr">
        <is>
          <t>Manual/E2E</t>
        </is>
      </c>
      <c r="J14" s="30" t="inlineStr">
        <is>
          <t>Semi-automated</t>
        </is>
      </c>
      <c r="K14" s="30" t="inlineStr">
        <is>
          <t>P1</t>
        </is>
      </c>
      <c r="L14" s="30" t="inlineStr">
        <is>
          <t>High</t>
        </is>
      </c>
      <c r="M14" s="30" t="inlineStr">
        <is>
          <t>YES</t>
        </is>
      </c>
      <c r="N14" s="30" t="inlineStr">
        <is>
          <t>NOT STARTED</t>
        </is>
      </c>
      <c r="O14" s="30" t="str"/>
      <c r="P14" s="30" t="str"/>
      <c r="Q14" s="30" t="str"/>
      <c r="R14" s="30" t="inlineStr">
        <is>
          <t>NOT TESTED</t>
        </is>
      </c>
      <c r="S14" s="30" t="str"/>
      <c r="T14" s="31" t="inlineStr">
        <is>
          <t>Every release</t>
        </is>
      </c>
    </row>
    <row r="15">
      <c r="A15" s="29" t="inlineStr">
        <is>
          <t>T013</t>
        </is>
      </c>
      <c r="B15" s="30" t="inlineStr">
        <is>
          <t>Cross-platform</t>
        </is>
      </c>
      <c r="C15" s="30" t="inlineStr">
        <is>
          <t>3-Core</t>
        </is>
      </c>
      <c r="D15" s="30" t="inlineStr">
        <is>
          <t>Boundary testing</t>
        </is>
      </c>
      <c r="E15" s="30" t="inlineStr">
        <is>
          <t>Long text</t>
        </is>
      </c>
      <c r="F15" s="30" t="inlineStr">
        <is>
          <t>Very long valid/invalid strings</t>
        </is>
      </c>
      <c r="G15" s="30" t="inlineStr">
        <is>
          <t>Paste long text, emoji, UA/EN, symbols into text fields</t>
        </is>
      </c>
      <c r="H15" s="30" t="inlineStr">
        <is>
          <t>No crash/layout break; constraints explicit</t>
        </is>
      </c>
      <c r="I15" s="30" t="inlineStr">
        <is>
          <t>Manual</t>
        </is>
      </c>
      <c r="J15" s="30" t="inlineStr">
        <is>
          <t>Manual</t>
        </is>
      </c>
      <c r="K15" s="30" t="inlineStr">
        <is>
          <t>P2</t>
        </is>
      </c>
      <c r="L15" s="30" t="inlineStr">
        <is>
          <t>Medium</t>
        </is>
      </c>
      <c r="M15" s="30" t="inlineStr">
        <is>
          <t>NO</t>
        </is>
      </c>
      <c r="N15" s="30" t="inlineStr">
        <is>
          <t>NOT STARTED</t>
        </is>
      </c>
      <c r="O15" s="30" t="str"/>
      <c r="P15" s="30" t="str"/>
      <c r="Q15" s="30" t="str"/>
      <c r="R15" s="30" t="inlineStr">
        <is>
          <t>NOT TESTED</t>
        </is>
      </c>
      <c r="S15" s="30" t="str"/>
      <c r="T15" s="31" t="inlineStr">
        <is>
          <t>Every major release</t>
        </is>
      </c>
    </row>
    <row r="16">
      <c r="A16" s="29" t="inlineStr">
        <is>
          <t>T014</t>
        </is>
      </c>
      <c r="B16" s="30" t="inlineStr">
        <is>
          <t>Cross-platform</t>
        </is>
      </c>
      <c r="C16" s="30" t="inlineStr">
        <is>
          <t>3-Core</t>
        </is>
      </c>
      <c r="D16" s="30" t="inlineStr">
        <is>
          <t>Boundary testing</t>
        </is>
      </c>
      <c r="E16" s="30" t="inlineStr">
        <is>
          <t>Numeric limits</t>
        </is>
      </c>
      <c r="F16" s="30" t="inlineStr">
        <is>
          <t>0, negative, max, decimal, huge values</t>
        </is>
      </c>
      <c r="G16" s="30" t="inlineStr">
        <is>
          <t>Test documented limits for all critical numeric fields</t>
        </is>
      </c>
      <c r="H16" s="30" t="inlineStr">
        <is>
          <t>Validation matches domain rules</t>
        </is>
      </c>
      <c r="I16" s="30" t="inlineStr">
        <is>
          <t>Parametrized tests</t>
        </is>
      </c>
      <c r="J16" s="30" t="inlineStr">
        <is>
          <t>Automated</t>
        </is>
      </c>
      <c r="K16" s="30" t="inlineStr">
        <is>
          <t>P1</t>
        </is>
      </c>
      <c r="L16" s="30" t="inlineStr">
        <is>
          <t>High</t>
        </is>
      </c>
      <c r="M16" s="30" t="inlineStr">
        <is>
          <t>YES</t>
        </is>
      </c>
      <c r="N16" s="30" t="inlineStr">
        <is>
          <t>NOT STARTED</t>
        </is>
      </c>
      <c r="O16" s="30" t="str"/>
      <c r="P16" s="30" t="str"/>
      <c r="Q16" s="30" t="str"/>
      <c r="R16" s="30" t="inlineStr">
        <is>
          <t>NOT TESTED</t>
        </is>
      </c>
      <c r="S16" s="30" t="str"/>
      <c r="T16" s="31" t="inlineStr">
        <is>
          <t>Every release</t>
        </is>
      </c>
    </row>
    <row r="17">
      <c r="A17" s="29" t="inlineStr">
        <is>
          <t>T015</t>
        </is>
      </c>
      <c r="B17" s="30" t="inlineStr">
        <is>
          <t>Cross-platform</t>
        </is>
      </c>
      <c r="C17" s="30" t="inlineStr">
        <is>
          <t>3-Core</t>
        </is>
      </c>
      <c r="D17" s="30" t="inlineStr">
        <is>
          <t>Localization</t>
        </is>
      </c>
      <c r="E17" s="30" t="inlineStr">
        <is>
          <t>UA/EN</t>
        </is>
      </c>
      <c r="F17" s="30" t="inlineStr">
        <is>
          <t>Language switch and persistence</t>
        </is>
      </c>
      <c r="G17" s="30" t="inlineStr">
        <is>
          <t>Switch language mid-flow; restart app</t>
        </is>
      </c>
      <c r="H17" s="30" t="inlineStr">
        <is>
          <t>No mixed critical UI; selection persists</t>
        </is>
      </c>
      <c r="I17" s="30" t="inlineStr">
        <is>
          <t>Manual</t>
        </is>
      </c>
      <c r="J17" s="30" t="inlineStr">
        <is>
          <t>Manual</t>
        </is>
      </c>
      <c r="K17" s="30" t="inlineStr">
        <is>
          <t>P1</t>
        </is>
      </c>
      <c r="L17" s="30" t="inlineStr">
        <is>
          <t>High</t>
        </is>
      </c>
      <c r="M17" s="30" t="inlineStr">
        <is>
          <t>YES</t>
        </is>
      </c>
      <c r="N17" s="30" t="inlineStr">
        <is>
          <t>NOT STARTED</t>
        </is>
      </c>
      <c r="O17" s="30" t="str"/>
      <c r="P17" s="30" t="str"/>
      <c r="Q17" s="30" t="str"/>
      <c r="R17" s="30" t="inlineStr">
        <is>
          <t>NOT TESTED</t>
        </is>
      </c>
      <c r="S17" s="30" t="str"/>
      <c r="T17" s="31" t="inlineStr">
        <is>
          <t>Every release</t>
        </is>
      </c>
    </row>
    <row r="18">
      <c r="A18" s="29" t="inlineStr">
        <is>
          <t>T016</t>
        </is>
      </c>
      <c r="B18" s="30" t="inlineStr">
        <is>
          <t>Cross-platform</t>
        </is>
      </c>
      <c r="C18" s="30" t="inlineStr">
        <is>
          <t>3-Core</t>
        </is>
      </c>
      <c r="D18" s="30" t="inlineStr">
        <is>
          <t>Localization</t>
        </is>
      </c>
      <c r="E18" s="30" t="inlineStr">
        <is>
          <t>Formats</t>
        </is>
      </c>
      <c r="F18" s="30" t="inlineStr">
        <is>
          <t>Date/number/unit formats</t>
        </is>
      </c>
      <c r="G18" s="30" t="inlineStr">
        <is>
          <t>Check decimal separators, dates, time zone, units in UI/export</t>
        </is>
      </c>
      <c r="H18" s="30" t="inlineStr">
        <is>
          <t>Meaning preserved; no silent value changes</t>
        </is>
      </c>
      <c r="I18" s="30" t="inlineStr">
        <is>
          <t>Manual</t>
        </is>
      </c>
      <c r="J18" s="30" t="inlineStr">
        <is>
          <t>Manual</t>
        </is>
      </c>
      <c r="K18" s="30" t="inlineStr">
        <is>
          <t>P1</t>
        </is>
      </c>
      <c r="L18" s="30" t="inlineStr">
        <is>
          <t>High</t>
        </is>
      </c>
      <c r="M18" s="30" t="inlineStr">
        <is>
          <t>YES</t>
        </is>
      </c>
      <c r="N18" s="30" t="inlineStr">
        <is>
          <t>NOT STARTED</t>
        </is>
      </c>
      <c r="O18" s="30" t="str"/>
      <c r="P18" s="30" t="str"/>
      <c r="Q18" s="30" t="str"/>
      <c r="R18" s="30" t="inlineStr">
        <is>
          <t>NOT TESTED</t>
        </is>
      </c>
      <c r="S18" s="30" t="str"/>
      <c r="T18" s="31" t="inlineStr">
        <is>
          <t>Every release</t>
        </is>
      </c>
    </row>
    <row r="19">
      <c r="A19" s="29" t="inlineStr">
        <is>
          <t>T017</t>
        </is>
      </c>
      <c r="B19" s="30" t="inlineStr">
        <is>
          <t>Cross-platform</t>
        </is>
      </c>
      <c r="C19" s="30" t="inlineStr">
        <is>
          <t>4-Data</t>
        </is>
      </c>
      <c r="D19" s="30" t="inlineStr">
        <is>
          <t>Import testing</t>
        </is>
      </c>
      <c r="E19" s="30" t="inlineStr">
        <is>
          <t>Valid file</t>
        </is>
      </c>
      <c r="F19" s="30" t="inlineStr">
        <is>
          <t>Import supported file</t>
        </is>
      </c>
      <c r="G19" s="30" t="inlineStr">
        <is>
          <t>Import known-good fixture; compare parsed records</t>
        </is>
      </c>
      <c r="H19" s="30" t="inlineStr">
        <is>
          <t>Parsed output exactly matches fixture ground truth</t>
        </is>
      </c>
      <c r="I19" s="30" t="inlineStr">
        <is>
          <t>Fixture tests</t>
        </is>
      </c>
      <c r="J19" s="30" t="inlineStr">
        <is>
          <t>Automated</t>
        </is>
      </c>
      <c r="K19" s="30" t="inlineStr">
        <is>
          <t>P0</t>
        </is>
      </c>
      <c r="L19" s="30" t="inlineStr">
        <is>
          <t>Critical</t>
        </is>
      </c>
      <c r="M19" s="30" t="inlineStr">
        <is>
          <t>YES</t>
        </is>
      </c>
      <c r="N19" s="30" t="inlineStr">
        <is>
          <t>NOT STARTED</t>
        </is>
      </c>
      <c r="O19" s="30" t="str"/>
      <c r="P19" s="30" t="str"/>
      <c r="Q19" s="30" t="str"/>
      <c r="R19" s="30" t="inlineStr">
        <is>
          <t>NOT TESTED</t>
        </is>
      </c>
      <c r="S19" s="30" t="str"/>
      <c r="T19" s="31" t="inlineStr">
        <is>
          <t>Every release</t>
        </is>
      </c>
    </row>
    <row r="20">
      <c r="A20" s="29" t="inlineStr">
        <is>
          <t>T018</t>
        </is>
      </c>
      <c r="B20" s="30" t="inlineStr">
        <is>
          <t>Cross-platform</t>
        </is>
      </c>
      <c r="C20" s="30" t="inlineStr">
        <is>
          <t>4-Data</t>
        </is>
      </c>
      <c r="D20" s="30" t="inlineStr">
        <is>
          <t>Import testing</t>
        </is>
      </c>
      <c r="E20" s="30" t="inlineStr">
        <is>
          <t>Corrupt file</t>
        </is>
      </c>
      <c r="F20" s="30" t="inlineStr">
        <is>
          <t>Import truncated/corrupt file</t>
        </is>
      </c>
      <c r="G20" s="30" t="inlineStr">
        <is>
          <t>Use corrupt/empty/wrong MIME fixtures</t>
        </is>
      </c>
      <c r="H20" s="30" t="inlineStr">
        <is>
          <t>Clear error; no partial corruption</t>
        </is>
      </c>
      <c r="I20" s="30" t="inlineStr">
        <is>
          <t>Fixture tests</t>
        </is>
      </c>
      <c r="J20" s="30" t="inlineStr">
        <is>
          <t>Semi-automated</t>
        </is>
      </c>
      <c r="K20" s="30" t="inlineStr">
        <is>
          <t>P0</t>
        </is>
      </c>
      <c r="L20" s="30" t="inlineStr">
        <is>
          <t>Critical</t>
        </is>
      </c>
      <c r="M20" s="30" t="inlineStr">
        <is>
          <t>YES</t>
        </is>
      </c>
      <c r="N20" s="30" t="inlineStr">
        <is>
          <t>NOT STARTED</t>
        </is>
      </c>
      <c r="O20" s="30" t="str"/>
      <c r="P20" s="30" t="str"/>
      <c r="Q20" s="30" t="str"/>
      <c r="R20" s="30" t="inlineStr">
        <is>
          <t>NOT TESTED</t>
        </is>
      </c>
      <c r="S20" s="30" t="str"/>
      <c r="T20" s="31" t="inlineStr">
        <is>
          <t>Every release</t>
        </is>
      </c>
    </row>
    <row r="21">
      <c r="A21" s="29" t="inlineStr">
        <is>
          <t>T019</t>
        </is>
      </c>
      <c r="B21" s="30" t="inlineStr">
        <is>
          <t>Cross-platform</t>
        </is>
      </c>
      <c r="C21" s="30" t="inlineStr">
        <is>
          <t>4-Data</t>
        </is>
      </c>
      <c r="D21" s="30" t="inlineStr">
        <is>
          <t>File security</t>
        </is>
      </c>
      <c r="E21" s="30" t="inlineStr">
        <is>
          <t>Huge file</t>
        </is>
      </c>
      <c r="F21" s="30" t="inlineStr">
        <is>
          <t>Import file near/above supported size</t>
        </is>
      </c>
      <c r="G21" s="30" t="inlineStr">
        <is>
          <t>Load large fixture and observe memory/error path</t>
        </is>
      </c>
      <c r="H21" s="30" t="inlineStr">
        <is>
          <t>Graceful limit or successful import; no crash</t>
        </is>
      </c>
      <c r="I21" s="30" t="inlineStr">
        <is>
          <t>Profiler + fixture</t>
        </is>
      </c>
      <c r="J21" s="30" t="inlineStr">
        <is>
          <t>Manual</t>
        </is>
      </c>
      <c r="K21" s="30" t="inlineStr">
        <is>
          <t>P1</t>
        </is>
      </c>
      <c r="L21" s="30" t="inlineStr">
        <is>
          <t>High</t>
        </is>
      </c>
      <c r="M21" s="30" t="inlineStr">
        <is>
          <t>YES</t>
        </is>
      </c>
      <c r="N21" s="30" t="inlineStr">
        <is>
          <t>NOT STARTED</t>
        </is>
      </c>
      <c r="O21" s="30" t="str"/>
      <c r="P21" s="30" t="str"/>
      <c r="Q21" s="30" t="str"/>
      <c r="R21" s="30" t="inlineStr">
        <is>
          <t>NOT TESTED</t>
        </is>
      </c>
      <c r="S21" s="30" t="str"/>
      <c r="T21" s="31" t="inlineStr">
        <is>
          <t>Before MVP</t>
        </is>
      </c>
    </row>
    <row r="22">
      <c r="A22" s="29" t="inlineStr">
        <is>
          <t>T020</t>
        </is>
      </c>
      <c r="B22" s="30" t="inlineStr">
        <is>
          <t>Cross-platform</t>
        </is>
      </c>
      <c r="C22" s="30" t="inlineStr">
        <is>
          <t>4-Data</t>
        </is>
      </c>
      <c r="D22" s="30" t="inlineStr">
        <is>
          <t>File compatibility</t>
        </is>
      </c>
      <c r="E22" s="30" t="inlineStr">
        <is>
          <t>Unicode path/name</t>
        </is>
      </c>
      <c r="F22" s="30" t="inlineStr">
        <is>
          <t>Use filenames with spaces, Cyrillic, emoji, long names</t>
        </is>
      </c>
      <c r="G22" s="30" t="inlineStr">
        <is>
          <t>Prepare representative files with spaces, Cyrillic, emoji and long names; run import and export for each supported format.</t>
        </is>
      </c>
      <c r="H22" s="30" t="inlineStr">
        <is>
          <t>Import/export succeeds or documented validation</t>
        </is>
      </c>
      <c r="I22" s="30" t="inlineStr">
        <is>
          <t>Fixture files</t>
        </is>
      </c>
      <c r="J22" s="30" t="inlineStr">
        <is>
          <t>Manual</t>
        </is>
      </c>
      <c r="K22" s="30" t="inlineStr">
        <is>
          <t>P2</t>
        </is>
      </c>
      <c r="L22" s="30" t="inlineStr">
        <is>
          <t>Medium</t>
        </is>
      </c>
      <c r="M22" s="30" t="inlineStr">
        <is>
          <t>NO</t>
        </is>
      </c>
      <c r="N22" s="30" t="inlineStr">
        <is>
          <t>NOT STARTED</t>
        </is>
      </c>
      <c r="O22" s="30" t="n"/>
      <c r="P22" s="30" t="n"/>
      <c r="Q22" s="30" t="n"/>
      <c r="R22" s="30" t="inlineStr">
        <is>
          <t>NOT TESTED</t>
        </is>
      </c>
      <c r="S22" s="30" t="n"/>
      <c r="T22" s="31" t="inlineStr">
        <is>
          <t>Before MVP</t>
        </is>
      </c>
    </row>
    <row r="23">
      <c r="A23" s="29" t="inlineStr">
        <is>
          <t>T021</t>
        </is>
      </c>
      <c r="B23" s="30" t="inlineStr">
        <is>
          <t>Cross-platform</t>
        </is>
      </c>
      <c r="C23" s="30" t="inlineStr">
        <is>
          <t>4-Data</t>
        </is>
      </c>
      <c r="D23" s="30" t="inlineStr">
        <is>
          <t>Export testing</t>
        </is>
      </c>
      <c r="E23" s="30" t="inlineStr">
        <is>
          <t>Content parity</t>
        </is>
      </c>
      <c r="F23" s="30" t="inlineStr">
        <is>
          <t>Export PDF/CSV/XLSX/JSON as applicable</t>
        </is>
      </c>
      <c r="G23" s="30" t="inlineStr">
        <is>
          <t>Create known fixture; export; compare key values</t>
        </is>
      </c>
      <c r="H23" s="30" t="inlineStr">
        <is>
          <t>Export matches source values/units/order</t>
        </is>
      </c>
      <c r="I23" s="30" t="inlineStr">
        <is>
          <t>Diff/checksum</t>
        </is>
      </c>
      <c r="J23" s="30" t="inlineStr">
        <is>
          <t>Semi-automated</t>
        </is>
      </c>
      <c r="K23" s="30" t="inlineStr">
        <is>
          <t>P0</t>
        </is>
      </c>
      <c r="L23" s="30" t="inlineStr">
        <is>
          <t>Critical</t>
        </is>
      </c>
      <c r="M23" s="30" t="inlineStr">
        <is>
          <t>YES</t>
        </is>
      </c>
      <c r="N23" s="30" t="inlineStr">
        <is>
          <t>NOT STARTED</t>
        </is>
      </c>
      <c r="O23" s="30" t="str"/>
      <c r="P23" s="30" t="str"/>
      <c r="Q23" s="30" t="str"/>
      <c r="R23" s="30" t="inlineStr">
        <is>
          <t>NOT TESTED</t>
        </is>
      </c>
      <c r="S23" s="30" t="str"/>
      <c r="T23" s="31" t="inlineStr">
        <is>
          <t>Every release</t>
        </is>
      </c>
    </row>
    <row r="24">
      <c r="A24" s="29" t="inlineStr">
        <is>
          <t>T022</t>
        </is>
      </c>
      <c r="B24" s="30" t="inlineStr">
        <is>
          <t>Cross-platform</t>
        </is>
      </c>
      <c r="C24" s="30" t="inlineStr">
        <is>
          <t>4-Data</t>
        </is>
      </c>
      <c r="D24" s="30" t="inlineStr">
        <is>
          <t>Export testing</t>
        </is>
      </c>
      <c r="E24" s="30" t="inlineStr">
        <is>
          <t>Repeat export</t>
        </is>
      </c>
      <c r="F24" s="30" t="inlineStr">
        <is>
          <t>Export same record repeatedly</t>
        </is>
      </c>
      <c r="G24" s="30" t="inlineStr">
        <is>
          <t>Run export 10x; open each artifact</t>
        </is>
      </c>
      <c r="H24" s="30" t="inlineStr">
        <is>
          <t>All artifacts valid; no state leak</t>
        </is>
      </c>
      <c r="I24" s="30" t="inlineStr">
        <is>
          <t>Manual/automation</t>
        </is>
      </c>
      <c r="J24" s="30" t="inlineStr">
        <is>
          <t>Semi-automated</t>
        </is>
      </c>
      <c r="K24" s="30" t="inlineStr">
        <is>
          <t>P2</t>
        </is>
      </c>
      <c r="L24" s="30" t="inlineStr">
        <is>
          <t>Medium</t>
        </is>
      </c>
      <c r="M24" s="30" t="inlineStr">
        <is>
          <t>NO</t>
        </is>
      </c>
      <c r="N24" s="30" t="inlineStr">
        <is>
          <t>NOT STARTED</t>
        </is>
      </c>
      <c r="O24" s="30" t="str"/>
      <c r="P24" s="30" t="str"/>
      <c r="Q24" s="30" t="str"/>
      <c r="R24" s="30" t="inlineStr">
        <is>
          <t>NOT TESTED</t>
        </is>
      </c>
      <c r="S24" s="30" t="str"/>
      <c r="T24" s="31" t="inlineStr">
        <is>
          <t>Every major release</t>
        </is>
      </c>
    </row>
    <row r="25">
      <c r="A25" s="29" t="inlineStr">
        <is>
          <t>T023</t>
        </is>
      </c>
      <c r="B25" s="30" t="inlineStr">
        <is>
          <t>Cross-platform</t>
        </is>
      </c>
      <c r="C25" s="30" t="inlineStr">
        <is>
          <t>4-Data</t>
        </is>
      </c>
      <c r="D25" s="30" t="inlineStr">
        <is>
          <t>Migration testing</t>
        </is>
      </c>
      <c r="E25" s="30" t="inlineStr">
        <is>
          <t>Old version data</t>
        </is>
      </c>
      <c r="F25" s="30" t="inlineStr">
        <is>
          <t>Install/load previous schema then current build</t>
        </is>
      </c>
      <c r="G25" s="30" t="inlineStr">
        <is>
          <t>Upgrade without clearing data</t>
        </is>
      </c>
      <c r="H25" s="30" t="inlineStr">
        <is>
          <t>All supported user data survives migration</t>
        </is>
      </c>
      <c r="I25" s="30" t="inlineStr">
        <is>
          <t>Migration fixtures</t>
        </is>
      </c>
      <c r="J25" s="30" t="inlineStr">
        <is>
          <t>Automated</t>
        </is>
      </c>
      <c r="K25" s="30" t="inlineStr">
        <is>
          <t>P0</t>
        </is>
      </c>
      <c r="L25" s="30" t="inlineStr">
        <is>
          <t>Critical</t>
        </is>
      </c>
      <c r="M25" s="30" t="inlineStr">
        <is>
          <t>YES</t>
        </is>
      </c>
      <c r="N25" s="30" t="inlineStr">
        <is>
          <t>NOT STARTED</t>
        </is>
      </c>
      <c r="O25" s="30" t="str"/>
      <c r="P25" s="30" t="str"/>
      <c r="Q25" s="30" t="str"/>
      <c r="R25" s="30" t="inlineStr">
        <is>
          <t>NOT TESTED</t>
        </is>
      </c>
      <c r="S25" s="30" t="str"/>
      <c r="T25" s="31" t="inlineStr">
        <is>
          <t>Every release</t>
        </is>
      </c>
    </row>
    <row r="26">
      <c r="A26" s="29" t="inlineStr">
        <is>
          <t>T024</t>
        </is>
      </c>
      <c r="B26" s="30" t="inlineStr">
        <is>
          <t>Cross-platform</t>
        </is>
      </c>
      <c r="C26" s="30" t="inlineStr">
        <is>
          <t>4-Data</t>
        </is>
      </c>
      <c r="D26" s="30" t="inlineStr">
        <is>
          <t>Crash recovery</t>
        </is>
      </c>
      <c r="E26" s="30" t="inlineStr">
        <is>
          <t>Kill during save</t>
        </is>
      </c>
      <c r="F26" s="30" t="inlineStr">
        <is>
          <t>Force process close while saving</t>
        </is>
      </c>
      <c r="G26" s="30" t="inlineStr">
        <is>
          <t>Reopen and inspect consistency</t>
        </is>
      </c>
      <c r="H26" s="30" t="inlineStr">
        <is>
          <t>No corrupted/half-linked data</t>
        </is>
      </c>
      <c r="I26" s="30" t="inlineStr">
        <is>
          <t>Forced kill</t>
        </is>
      </c>
      <c r="J26" s="30" t="inlineStr">
        <is>
          <t>Manual</t>
        </is>
      </c>
      <c r="K26" s="30" t="inlineStr">
        <is>
          <t>P0</t>
        </is>
      </c>
      <c r="L26" s="30" t="inlineStr">
        <is>
          <t>Critical</t>
        </is>
      </c>
      <c r="M26" s="30" t="inlineStr">
        <is>
          <t>YES</t>
        </is>
      </c>
      <c r="N26" s="30" t="inlineStr">
        <is>
          <t>NOT STARTED</t>
        </is>
      </c>
      <c r="O26" s="30" t="str"/>
      <c r="P26" s="30" t="str"/>
      <c r="Q26" s="30" t="str"/>
      <c r="R26" s="30" t="inlineStr">
        <is>
          <t>NOT TESTED</t>
        </is>
      </c>
      <c r="S26" s="30" t="str"/>
      <c r="T26" s="31" t="inlineStr">
        <is>
          <t>Every release</t>
        </is>
      </c>
    </row>
    <row r="27">
      <c r="A27" s="29" t="inlineStr">
        <is>
          <t>T025</t>
        </is>
      </c>
      <c r="B27" s="30" t="inlineStr">
        <is>
          <t>Cross-platform</t>
        </is>
      </c>
      <c r="C27" s="30" t="inlineStr">
        <is>
          <t>4-Data</t>
        </is>
      </c>
      <c r="D27" s="30" t="inlineStr">
        <is>
          <t>Crash recovery</t>
        </is>
      </c>
      <c r="E27" s="30" t="inlineStr">
        <is>
          <t>Kill during import</t>
        </is>
      </c>
      <c r="F27" s="30" t="inlineStr">
        <is>
          <t>Terminate during long import</t>
        </is>
      </c>
      <c r="G27" s="30" t="inlineStr">
        <is>
          <t>Reopen app; inspect temp/partial records</t>
        </is>
      </c>
      <c r="H27" s="30" t="inlineStr">
        <is>
          <t>Safe rollback/resume; no corrupt DB</t>
        </is>
      </c>
      <c r="I27" s="30" t="inlineStr">
        <is>
          <t>Forced kill</t>
        </is>
      </c>
      <c r="J27" s="30" t="inlineStr">
        <is>
          <t>Manual</t>
        </is>
      </c>
      <c r="K27" s="30" t="inlineStr">
        <is>
          <t>P0</t>
        </is>
      </c>
      <c r="L27" s="30" t="inlineStr">
        <is>
          <t>Critical</t>
        </is>
      </c>
      <c r="M27" s="30" t="inlineStr">
        <is>
          <t>YES</t>
        </is>
      </c>
      <c r="N27" s="30" t="inlineStr">
        <is>
          <t>NOT STARTED</t>
        </is>
      </c>
      <c r="O27" s="30" t="str"/>
      <c r="P27" s="30" t="str"/>
      <c r="Q27" s="30" t="str"/>
      <c r="R27" s="30" t="inlineStr">
        <is>
          <t>NOT TESTED</t>
        </is>
      </c>
      <c r="S27" s="30" t="str"/>
      <c r="T27" s="31" t="inlineStr">
        <is>
          <t>Every release</t>
        </is>
      </c>
    </row>
    <row r="28">
      <c r="A28" s="29" t="inlineStr">
        <is>
          <t>T026</t>
        </is>
      </c>
      <c r="B28" s="30" t="inlineStr">
        <is>
          <t>Cross-platform</t>
        </is>
      </c>
      <c r="C28" s="30" t="inlineStr">
        <is>
          <t>5-Network</t>
        </is>
      </c>
      <c r="D28" s="30" t="inlineStr">
        <is>
          <t>Offline</t>
        </is>
      </c>
      <c r="E28" s="30" t="inlineStr">
        <is>
          <t>Cold launch offline</t>
        </is>
      </c>
      <c r="F28" s="30" t="inlineStr">
        <is>
          <t>Disable network before launch</t>
        </is>
      </c>
      <c r="G28" s="30" t="inlineStr">
        <is>
          <t>Start from a closed app with network disabled; launch and open the core offline screens/data required by the product design.</t>
        </is>
      </c>
      <c r="H28" s="30" t="inlineStr">
        <is>
          <t>Core offline UI/data accessible as designed</t>
        </is>
      </c>
      <c r="I28" s="30" t="inlineStr">
        <is>
          <t>Network off</t>
        </is>
      </c>
      <c r="J28" s="30" t="inlineStr">
        <is>
          <t>Manual</t>
        </is>
      </c>
      <c r="K28" s="30" t="inlineStr">
        <is>
          <t>P0</t>
        </is>
      </c>
      <c r="L28" s="30" t="inlineStr">
        <is>
          <t>Critical</t>
        </is>
      </c>
      <c r="M28" s="30" t="inlineStr">
        <is>
          <t>YES</t>
        </is>
      </c>
      <c r="N28" s="30" t="inlineStr">
        <is>
          <t>NOT STARTED</t>
        </is>
      </c>
      <c r="O28" s="30" t="n"/>
      <c r="P28" s="30" t="n"/>
      <c r="Q28" s="30" t="n"/>
      <c r="R28" s="30" t="inlineStr">
        <is>
          <t>NOT TESTED</t>
        </is>
      </c>
      <c r="S28" s="30" t="n"/>
      <c r="T28" s="31" t="inlineStr">
        <is>
          <t>Every release</t>
        </is>
      </c>
    </row>
    <row r="29">
      <c r="A29" s="29" t="inlineStr">
        <is>
          <t>T027</t>
        </is>
      </c>
      <c r="B29" s="30" t="inlineStr">
        <is>
          <t>Cross-platform</t>
        </is>
      </c>
      <c r="C29" s="30" t="inlineStr">
        <is>
          <t>5-Network</t>
        </is>
      </c>
      <c r="D29" s="30" t="inlineStr">
        <is>
          <t>Offline</t>
        </is>
      </c>
      <c r="E29" s="30" t="inlineStr">
        <is>
          <t>Create/edit offline</t>
        </is>
      </c>
      <c r="F29" s="30" t="inlineStr">
        <is>
          <t>Perform critical offline CRUD</t>
        </is>
      </c>
      <c r="G29" s="30" t="inlineStr">
        <is>
          <t>Create/edit/save; restart still offline</t>
        </is>
      </c>
      <c r="H29" s="30" t="inlineStr">
        <is>
          <t>Changes persist locally</t>
        </is>
      </c>
      <c r="I29" s="30" t="inlineStr">
        <is>
          <t>Network off</t>
        </is>
      </c>
      <c r="J29" s="30" t="inlineStr">
        <is>
          <t>Semi-automated</t>
        </is>
      </c>
      <c r="K29" s="30" t="inlineStr">
        <is>
          <t>P0</t>
        </is>
      </c>
      <c r="L29" s="30" t="inlineStr">
        <is>
          <t>Critical</t>
        </is>
      </c>
      <c r="M29" s="30" t="inlineStr">
        <is>
          <t>YES</t>
        </is>
      </c>
      <c r="N29" s="30" t="inlineStr">
        <is>
          <t>NOT STARTED</t>
        </is>
      </c>
      <c r="O29" s="30" t="str"/>
      <c r="P29" s="30" t="str"/>
      <c r="Q29" s="30" t="str"/>
      <c r="R29" s="30" t="inlineStr">
        <is>
          <t>NOT TESTED</t>
        </is>
      </c>
      <c r="S29" s="30" t="str"/>
      <c r="T29" s="31" t="inlineStr">
        <is>
          <t>Every release</t>
        </is>
      </c>
    </row>
    <row r="30">
      <c r="A30" s="29" t="inlineStr">
        <is>
          <t>T028</t>
        </is>
      </c>
      <c r="B30" s="30" t="inlineStr">
        <is>
          <t>Cross-platform</t>
        </is>
      </c>
      <c r="C30" s="30" t="inlineStr">
        <is>
          <t>5-Network</t>
        </is>
      </c>
      <c r="D30" s="30" t="inlineStr">
        <is>
          <t>Reconnect</t>
        </is>
      </c>
      <c r="E30" s="30" t="inlineStr">
        <is>
          <t>Sync after offline work</t>
        </is>
      </c>
      <c r="F30" s="30" t="inlineStr">
        <is>
          <t>Create offline changes; reconnect</t>
        </is>
      </c>
      <c r="G30" s="30" t="inlineStr">
        <is>
          <t>While offline, create/edit representative records; restore network; observe sync, local state and server state.</t>
        </is>
      </c>
      <c r="H30" s="30" t="inlineStr">
        <is>
          <t>Single correct sync; no duplicates/data loss</t>
        </is>
      </c>
      <c r="I30" s="30" t="inlineStr">
        <is>
          <t>Proxy/logs</t>
        </is>
      </c>
      <c r="J30" s="30" t="inlineStr">
        <is>
          <t>Semi-automated</t>
        </is>
      </c>
      <c r="K30" s="30" t="inlineStr">
        <is>
          <t>P0</t>
        </is>
      </c>
      <c r="L30" s="30" t="inlineStr">
        <is>
          <t>Critical</t>
        </is>
      </c>
      <c r="M30" s="30" t="inlineStr">
        <is>
          <t>YES</t>
        </is>
      </c>
      <c r="N30" s="30" t="inlineStr">
        <is>
          <t>NOT STARTED</t>
        </is>
      </c>
      <c r="O30" s="30" t="n"/>
      <c r="P30" s="30" t="n"/>
      <c r="Q30" s="30" t="n"/>
      <c r="R30" s="30" t="inlineStr">
        <is>
          <t>NOT TESTED</t>
        </is>
      </c>
      <c r="S30" s="30" t="n"/>
      <c r="T30" s="31" t="inlineStr">
        <is>
          <t>Every release</t>
        </is>
      </c>
    </row>
    <row r="31">
      <c r="A31" s="29" t="inlineStr">
        <is>
          <t>T029</t>
        </is>
      </c>
      <c r="B31" s="30" t="inlineStr">
        <is>
          <t>Cross-platform</t>
        </is>
      </c>
      <c r="C31" s="30" t="inlineStr">
        <is>
          <t>5-Network</t>
        </is>
      </c>
      <c r="D31" s="30" t="inlineStr">
        <is>
          <t>Conflict handling</t>
        </is>
      </c>
      <c r="E31" s="30" t="inlineStr">
        <is>
          <t>Concurrent/conflicting edits</t>
        </is>
      </c>
      <c r="F31" s="30" t="inlineStr">
        <is>
          <t>Create conflicting edits and reconnect</t>
        </is>
      </c>
      <c r="G31" s="30" t="inlineStr">
        <is>
          <t>Create conflicting edits to the same record in two states/clients, reconnect, and verify the documented conflict-resolution policy.</t>
        </is>
      </c>
      <c r="H31" s="30" t="inlineStr">
        <is>
          <t>Conflict resolved by documented policy</t>
        </is>
      </c>
      <c r="I31" s="30" t="inlineStr">
        <is>
          <t>Test harness</t>
        </is>
      </c>
      <c r="J31" s="30" t="inlineStr">
        <is>
          <t>Manual</t>
        </is>
      </c>
      <c r="K31" s="30" t="inlineStr">
        <is>
          <t>P1</t>
        </is>
      </c>
      <c r="L31" s="30" t="inlineStr">
        <is>
          <t>High</t>
        </is>
      </c>
      <c r="M31" s="30" t="inlineStr">
        <is>
          <t>YES</t>
        </is>
      </c>
      <c r="N31" s="30" t="inlineStr">
        <is>
          <t>NOT STARTED</t>
        </is>
      </c>
      <c r="O31" s="30" t="n"/>
      <c r="P31" s="30" t="n"/>
      <c r="Q31" s="30" t="n"/>
      <c r="R31" s="30" t="inlineStr">
        <is>
          <t>NOT TESTED</t>
        </is>
      </c>
      <c r="S31" s="30" t="n"/>
      <c r="T31" s="31" t="inlineStr">
        <is>
          <t>Before MVP</t>
        </is>
      </c>
    </row>
    <row r="32">
      <c r="A32" s="29" t="inlineStr">
        <is>
          <t>T030</t>
        </is>
      </c>
      <c r="B32" s="30" t="inlineStr">
        <is>
          <t>Cross-platform</t>
        </is>
      </c>
      <c r="C32" s="30" t="inlineStr">
        <is>
          <t>5-Network</t>
        </is>
      </c>
      <c r="D32" s="30" t="inlineStr">
        <is>
          <t>HTTP failures</t>
        </is>
      </c>
      <c r="E32" s="30" t="inlineStr">
        <is>
          <t>429/500/timeouts</t>
        </is>
      </c>
      <c r="F32" s="30" t="inlineStr">
        <is>
          <t>Inject API 429/500/timeout responses</t>
        </is>
      </c>
      <c r="G32" s="30" t="inlineStr">
        <is>
          <t>Mock 429, 500 and timeout responses during core network actions; retry where offered and inspect resulting state.</t>
        </is>
      </c>
      <c r="H32" s="30" t="inlineStr">
        <is>
          <t>User sees actionable error/retry; state consistent</t>
        </is>
      </c>
      <c r="I32" s="30" t="inlineStr">
        <is>
          <t>Proxy/mock server</t>
        </is>
      </c>
      <c r="J32" s="30" t="inlineStr">
        <is>
          <t>Automated</t>
        </is>
      </c>
      <c r="K32" s="30" t="inlineStr">
        <is>
          <t>P1</t>
        </is>
      </c>
      <c r="L32" s="30" t="inlineStr">
        <is>
          <t>High</t>
        </is>
      </c>
      <c r="M32" s="30" t="inlineStr">
        <is>
          <t>YES</t>
        </is>
      </c>
      <c r="N32" s="30" t="inlineStr">
        <is>
          <t>NOT STARTED</t>
        </is>
      </c>
      <c r="O32" s="30" t="n"/>
      <c r="P32" s="30" t="n"/>
      <c r="Q32" s="30" t="n"/>
      <c r="R32" s="30" t="inlineStr">
        <is>
          <t>NOT TESTED</t>
        </is>
      </c>
      <c r="S32" s="30" t="n"/>
      <c r="T32" s="31" t="inlineStr">
        <is>
          <t>Every release</t>
        </is>
      </c>
    </row>
    <row r="33">
      <c r="A33" s="29" t="inlineStr">
        <is>
          <t>T031</t>
        </is>
      </c>
      <c r="B33" s="30" t="inlineStr">
        <is>
          <t>Cross-platform</t>
        </is>
      </c>
      <c r="C33" s="30" t="inlineStr">
        <is>
          <t>5-Network</t>
        </is>
      </c>
      <c r="D33" s="30" t="inlineStr">
        <is>
          <t>Malformed API</t>
        </is>
      </c>
      <c r="E33" s="30" t="inlineStr">
        <is>
          <t>Invalid response schema</t>
        </is>
      </c>
      <c r="F33" s="30" t="inlineStr">
        <is>
          <t>Return missing/wrong fields</t>
        </is>
      </c>
      <c r="G33" s="30" t="inlineStr">
        <is>
          <t>Return responses with missing fields, wrong types and malformed payloads during core API flows.</t>
        </is>
      </c>
      <c r="H33" s="30" t="inlineStr">
        <is>
          <t>No crash; error logged; safe fallback</t>
        </is>
      </c>
      <c r="I33" s="30" t="inlineStr">
        <is>
          <t>Mock server</t>
        </is>
      </c>
      <c r="J33" s="30" t="inlineStr">
        <is>
          <t>Automated</t>
        </is>
      </c>
      <c r="K33" s="30" t="inlineStr">
        <is>
          <t>P1</t>
        </is>
      </c>
      <c r="L33" s="30" t="inlineStr">
        <is>
          <t>High</t>
        </is>
      </c>
      <c r="M33" s="30" t="inlineStr">
        <is>
          <t>YES</t>
        </is>
      </c>
      <c r="N33" s="30" t="inlineStr">
        <is>
          <t>NOT STARTED</t>
        </is>
      </c>
      <c r="O33" s="30" t="n"/>
      <c r="P33" s="30" t="n"/>
      <c r="Q33" s="30" t="n"/>
      <c r="R33" s="30" t="inlineStr">
        <is>
          <t>NOT TESTED</t>
        </is>
      </c>
      <c r="S33" s="30" t="n"/>
      <c r="T33" s="31" t="inlineStr">
        <is>
          <t>Every release</t>
        </is>
      </c>
    </row>
    <row r="34">
      <c r="A34" s="29" t="inlineStr">
        <is>
          <t>T032</t>
        </is>
      </c>
      <c r="B34" s="30" t="inlineStr">
        <is>
          <t>Cross-platform</t>
        </is>
      </c>
      <c r="C34" s="30" t="inlineStr">
        <is>
          <t>6-Security</t>
        </is>
      </c>
      <c r="D34" s="30" t="inlineStr">
        <is>
          <t>Input security</t>
        </is>
      </c>
      <c r="E34" s="30" t="inlineStr">
        <is>
          <t>Injection/XSS-like payloads</t>
        </is>
      </c>
      <c r="F34" s="30" t="inlineStr">
        <is>
          <t>Enter script/SQL/meta chars in text inputs/imported content</t>
        </is>
      </c>
      <c r="G34" s="30" t="inlineStr">
        <is>
          <t>Submit representative script/SQL/metacharacter payloads through text inputs and imported content; inspect rendering, storage and execution behavior.</t>
        </is>
      </c>
      <c r="H34" s="30" t="inlineStr">
        <is>
          <t>Content treated as data; no execution</t>
        </is>
      </c>
      <c r="I34" s="30" t="inlineStr">
        <is>
          <t>Security payload corpus</t>
        </is>
      </c>
      <c r="J34" s="30" t="inlineStr">
        <is>
          <t>Semi-automated</t>
        </is>
      </c>
      <c r="K34" s="30" t="inlineStr">
        <is>
          <t>P0</t>
        </is>
      </c>
      <c r="L34" s="30" t="inlineStr">
        <is>
          <t>Critical</t>
        </is>
      </c>
      <c r="M34" s="30" t="inlineStr">
        <is>
          <t>YES</t>
        </is>
      </c>
      <c r="N34" s="30" t="inlineStr">
        <is>
          <t>NOT STARTED</t>
        </is>
      </c>
      <c r="O34" s="30" t="n"/>
      <c r="P34" s="30" t="n"/>
      <c r="Q34" s="30" t="n"/>
      <c r="R34" s="30" t="inlineStr">
        <is>
          <t>NOT TESTED</t>
        </is>
      </c>
      <c r="S34" s="30" t="n"/>
      <c r="T34" s="31" t="inlineStr">
        <is>
          <t>Every release</t>
        </is>
      </c>
    </row>
    <row r="35">
      <c r="A35" s="29" t="inlineStr">
        <is>
          <t>T033</t>
        </is>
      </c>
      <c r="B35" s="30" t="inlineStr">
        <is>
          <t>Cross-platform</t>
        </is>
      </c>
      <c r="C35" s="30" t="inlineStr">
        <is>
          <t>6-Security</t>
        </is>
      </c>
      <c r="D35" s="30" t="inlineStr">
        <is>
          <t>Storage security</t>
        </is>
      </c>
      <c r="E35" s="30" t="inlineStr">
        <is>
          <t>Sensitive data at rest</t>
        </is>
      </c>
      <c r="F35" s="30" t="inlineStr">
        <is>
          <t>Inspect local DB/storage/logs/cache after normal use</t>
        </is>
      </c>
      <c r="G35" s="30" t="inlineStr">
        <is>
          <t>Use the app with representative sensitive values, then inspect local DB/storage/logs/cache for plaintext or unnecessary persistence.</t>
        </is>
      </c>
      <c r="H35" s="30" t="inlineStr">
        <is>
          <t>No secrets/plain sensitive data beyond design</t>
        </is>
      </c>
      <c r="I35" s="30" t="inlineStr">
        <is>
          <t>Manual inspection</t>
        </is>
      </c>
      <c r="J35" s="30" t="inlineStr">
        <is>
          <t>Manual</t>
        </is>
      </c>
      <c r="K35" s="30" t="inlineStr">
        <is>
          <t>P0</t>
        </is>
      </c>
      <c r="L35" s="30" t="inlineStr">
        <is>
          <t>Critical</t>
        </is>
      </c>
      <c r="M35" s="30" t="inlineStr">
        <is>
          <t>YES</t>
        </is>
      </c>
      <c r="N35" s="30" t="inlineStr">
        <is>
          <t>NOT STARTED</t>
        </is>
      </c>
      <c r="O35" s="30" t="n"/>
      <c r="P35" s="30" t="n"/>
      <c r="Q35" s="30" t="n"/>
      <c r="R35" s="30" t="inlineStr">
        <is>
          <t>NOT TESTED</t>
        </is>
      </c>
      <c r="S35" s="30" t="n"/>
      <c r="T35" s="31" t="inlineStr">
        <is>
          <t>Before MVP</t>
        </is>
      </c>
    </row>
    <row r="36">
      <c r="A36" s="29" t="inlineStr">
        <is>
          <t>T034</t>
        </is>
      </c>
      <c r="B36" s="30" t="inlineStr">
        <is>
          <t>Cross-platform</t>
        </is>
      </c>
      <c r="C36" s="30" t="inlineStr">
        <is>
          <t>6-Security</t>
        </is>
      </c>
      <c r="D36" s="30" t="inlineStr">
        <is>
          <t>Logging privacy</t>
        </is>
      </c>
      <c r="E36" s="30" t="inlineStr">
        <is>
          <t>PII/secrets in logs</t>
        </is>
      </c>
      <c r="F36" s="30" t="inlineStr">
        <is>
          <t>Trigger errors and inspect logs</t>
        </is>
      </c>
      <c r="G36" s="30" t="inlineStr">
        <is>
          <t>Trigger representative validation, network and runtime errors; inspect all generated logs and diagnostic output.</t>
        </is>
      </c>
      <c r="H36" s="30" t="inlineStr">
        <is>
          <t>Tokens/secrets/sensitive payloads absent or redacted</t>
        </is>
      </c>
      <c r="I36" s="30" t="inlineStr">
        <is>
          <t>Log review</t>
        </is>
      </c>
      <c r="J36" s="30" t="inlineStr">
        <is>
          <t>Manual</t>
        </is>
      </c>
      <c r="K36" s="30" t="inlineStr">
        <is>
          <t>P0</t>
        </is>
      </c>
      <c r="L36" s="30" t="inlineStr">
        <is>
          <t>Critical</t>
        </is>
      </c>
      <c r="M36" s="30" t="inlineStr">
        <is>
          <t>YES</t>
        </is>
      </c>
      <c r="N36" s="30" t="inlineStr">
        <is>
          <t>NOT STARTED</t>
        </is>
      </c>
      <c r="O36" s="30" t="n"/>
      <c r="P36" s="30" t="n"/>
      <c r="Q36" s="30" t="n"/>
      <c r="R36" s="30" t="inlineStr">
        <is>
          <t>NOT TESTED</t>
        </is>
      </c>
      <c r="S36" s="30" t="n"/>
      <c r="T36" s="31" t="inlineStr">
        <is>
          <t>Every release</t>
        </is>
      </c>
    </row>
    <row r="37">
      <c r="A37" s="29" t="inlineStr">
        <is>
          <t>T035</t>
        </is>
      </c>
      <c r="B37" s="30" t="inlineStr">
        <is>
          <t>Cross-platform</t>
        </is>
      </c>
      <c r="C37" s="30" t="inlineStr">
        <is>
          <t>6-Security</t>
        </is>
      </c>
      <c r="D37" s="30" t="inlineStr">
        <is>
          <t>Authorization</t>
        </is>
      </c>
      <c r="E37" s="30" t="inlineStr">
        <is>
          <t>Direct object access</t>
        </is>
      </c>
      <c r="F37" s="30" t="inlineStr">
        <is>
          <t>Manipulate ID/route/API request if accounts/roles exist</t>
        </is>
      </c>
      <c r="G37" s="30" t="inlineStr">
        <is>
          <t>If IDs/roles exist, alter object IDs/routes/API requests under a user lacking access and attempt direct access.</t>
        </is>
      </c>
      <c r="H37" s="30" t="inlineStr">
        <is>
          <t>Unauthorized data inaccessible</t>
        </is>
      </c>
      <c r="I37" s="30" t="inlineStr">
        <is>
          <t>API/UI security test</t>
        </is>
      </c>
      <c r="J37" s="30" t="inlineStr">
        <is>
          <t>Semi-automated</t>
        </is>
      </c>
      <c r="K37" s="30" t="inlineStr">
        <is>
          <t>P0</t>
        </is>
      </c>
      <c r="L37" s="30" t="inlineStr">
        <is>
          <t>Critical</t>
        </is>
      </c>
      <c r="M37" s="30" t="inlineStr">
        <is>
          <t>YES</t>
        </is>
      </c>
      <c r="N37" s="30" t="inlineStr">
        <is>
          <t>NOT STARTED</t>
        </is>
      </c>
      <c r="O37" s="30" t="n"/>
      <c r="P37" s="30" t="n"/>
      <c r="Q37" s="30" t="n"/>
      <c r="R37" s="30" t="inlineStr">
        <is>
          <t>NOT TESTED</t>
        </is>
      </c>
      <c r="S37" s="30" t="n"/>
      <c r="T37" s="31" t="inlineStr">
        <is>
          <t>Before MVP</t>
        </is>
      </c>
    </row>
    <row r="38">
      <c r="A38" s="29" t="inlineStr">
        <is>
          <t>T036</t>
        </is>
      </c>
      <c r="B38" s="30" t="inlineStr">
        <is>
          <t>Cross-platform</t>
        </is>
      </c>
      <c r="C38" s="30" t="inlineStr">
        <is>
          <t>6-Security</t>
        </is>
      </c>
      <c r="D38" s="30" t="inlineStr">
        <is>
          <t>Session handling</t>
        </is>
      </c>
      <c r="E38" s="30" t="inlineStr">
        <is>
          <t>Expired/revoked session</t>
        </is>
      </c>
      <c r="F38" s="30" t="inlineStr">
        <is>
          <t>Expire token during use</t>
        </is>
      </c>
      <c r="G38" s="30" t="inlineStr">
        <is>
          <t>Invalidate or expire the active session during an unsaved/core operation; continue navigation/save attempts and re-authenticate.</t>
        </is>
      </c>
      <c r="H38" s="30" t="inlineStr">
        <is>
          <t>Safe re-auth; unsaved data handled predictably</t>
        </is>
      </c>
      <c r="I38" s="30" t="inlineStr">
        <is>
          <t>Mock/auth env</t>
        </is>
      </c>
      <c r="J38" s="30" t="inlineStr">
        <is>
          <t>Semi-automated</t>
        </is>
      </c>
      <c r="K38" s="30" t="inlineStr">
        <is>
          <t>P1</t>
        </is>
      </c>
      <c r="L38" s="30" t="inlineStr">
        <is>
          <t>High</t>
        </is>
      </c>
      <c r="M38" s="30" t="inlineStr">
        <is>
          <t>YES</t>
        </is>
      </c>
      <c r="N38" s="30" t="inlineStr">
        <is>
          <t>NOT STARTED</t>
        </is>
      </c>
      <c r="O38" s="30" t="n"/>
      <c r="P38" s="30" t="n"/>
      <c r="Q38" s="30" t="n"/>
      <c r="R38" s="30" t="inlineStr">
        <is>
          <t>NOT TESTED</t>
        </is>
      </c>
      <c r="S38" s="30" t="n"/>
      <c r="T38" s="31" t="inlineStr">
        <is>
          <t>Every release</t>
        </is>
      </c>
    </row>
    <row r="39">
      <c r="A39" s="29" t="inlineStr">
        <is>
          <t>T037</t>
        </is>
      </c>
      <c r="B39" s="30" t="inlineStr">
        <is>
          <t>Cross-platform</t>
        </is>
      </c>
      <c r="C39" s="30" t="inlineStr">
        <is>
          <t>7-Performance</t>
        </is>
      </c>
      <c r="D39" s="30" t="inlineStr">
        <is>
          <t>Startup</t>
        </is>
      </c>
      <c r="E39" s="30" t="inlineStr">
        <is>
          <t>Cold start budget</t>
        </is>
      </c>
      <c r="F39" s="30" t="inlineStr">
        <is>
          <t>Measure 10 cold starts on reference device/PC</t>
        </is>
      </c>
      <c r="G39" s="30" t="inlineStr">
        <is>
          <t>From a consistent cold state, perform 10 launches on the reference PC/device; record each startup duration and calculate median/p95.</t>
        </is>
      </c>
      <c r="H39" s="30" t="inlineStr">
        <is>
          <t>Median and p95 within chosen budget</t>
        </is>
      </c>
      <c r="I39" s="30" t="inlineStr">
        <is>
          <t>Profiler/timer</t>
        </is>
      </c>
      <c r="J39" s="30" t="inlineStr">
        <is>
          <t>Semi-automated</t>
        </is>
      </c>
      <c r="K39" s="30" t="inlineStr">
        <is>
          <t>P1</t>
        </is>
      </c>
      <c r="L39" s="30" t="inlineStr">
        <is>
          <t>High</t>
        </is>
      </c>
      <c r="M39" s="30" t="inlineStr">
        <is>
          <t>YES</t>
        </is>
      </c>
      <c r="N39" s="30" t="inlineStr">
        <is>
          <t>NOT STARTED</t>
        </is>
      </c>
      <c r="O39" s="30" t="n"/>
      <c r="P39" s="30" t="n"/>
      <c r="Q39" s="30" t="n"/>
      <c r="R39" s="30" t="inlineStr">
        <is>
          <t>NOT TESTED</t>
        </is>
      </c>
      <c r="S39" s="30" t="n"/>
      <c r="T39" s="31" t="inlineStr">
        <is>
          <t>Every release</t>
        </is>
      </c>
    </row>
    <row r="40">
      <c r="A40" s="29" t="inlineStr">
        <is>
          <t>T038</t>
        </is>
      </c>
      <c r="B40" s="30" t="inlineStr">
        <is>
          <t>Cross-platform</t>
        </is>
      </c>
      <c r="C40" s="30" t="inlineStr">
        <is>
          <t>7-Performance</t>
        </is>
      </c>
      <c r="D40" s="30" t="inlineStr">
        <is>
          <t>Core action latency</t>
        </is>
      </c>
      <c r="E40" s="30" t="inlineStr">
        <is>
          <t>Open list/detail/search</t>
        </is>
      </c>
      <c r="F40" s="30" t="inlineStr">
        <is>
          <t>Measure representative dataset</t>
        </is>
      </c>
      <c r="G40" s="30" t="inlineStr">
        <is>
          <t>Load a representative dataset and measure latency for the defined core actions under the same reference environment.</t>
        </is>
      </c>
      <c r="H40" s="30" t="inlineStr">
        <is>
          <t>UI remains responsive; budget met</t>
        </is>
      </c>
      <c r="I40" s="30" t="inlineStr">
        <is>
          <t>Profiler</t>
        </is>
      </c>
      <c r="J40" s="30" t="inlineStr">
        <is>
          <t>Semi-automated</t>
        </is>
      </c>
      <c r="K40" s="30" t="inlineStr">
        <is>
          <t>P1</t>
        </is>
      </c>
      <c r="L40" s="30" t="inlineStr">
        <is>
          <t>High</t>
        </is>
      </c>
      <c r="M40" s="30" t="inlineStr">
        <is>
          <t>YES</t>
        </is>
      </c>
      <c r="N40" s="30" t="inlineStr">
        <is>
          <t>NOT STARTED</t>
        </is>
      </c>
      <c r="O40" s="30" t="n"/>
      <c r="P40" s="30" t="n"/>
      <c r="Q40" s="30" t="n"/>
      <c r="R40" s="30" t="inlineStr">
        <is>
          <t>NOT TESTED</t>
        </is>
      </c>
      <c r="S40" s="30" t="n"/>
      <c r="T40" s="31" t="inlineStr">
        <is>
          <t>Every release</t>
        </is>
      </c>
    </row>
    <row r="41">
      <c r="A41" s="29" t="inlineStr">
        <is>
          <t>T039</t>
        </is>
      </c>
      <c r="B41" s="30" t="inlineStr">
        <is>
          <t>Cross-platform</t>
        </is>
      </c>
      <c r="C41" s="30" t="inlineStr">
        <is>
          <t>7-Performance</t>
        </is>
      </c>
      <c r="D41" s="30" t="inlineStr">
        <is>
          <t>Large dataset</t>
        </is>
      </c>
      <c r="E41" s="30" t="inlineStr">
        <is>
          <t>High record count</t>
        </is>
      </c>
      <c r="F41" s="30" t="inlineStr">
        <is>
          <t>Load dataset at expected high-end + 2x</t>
        </is>
      </c>
      <c r="G41" s="30" t="inlineStr">
        <is>
          <t>Generate datasets at the expected high-end and 2x size; execute core load/search/edit/export flows while recording responsiveness and failures.</t>
        </is>
      </c>
      <c r="H41" s="30" t="inlineStr">
        <is>
          <t>No crash; acceptable degradation</t>
        </is>
      </c>
      <c r="I41" s="30" t="inlineStr">
        <is>
          <t>Synthetic dataset</t>
        </is>
      </c>
      <c r="J41" s="30" t="inlineStr">
        <is>
          <t>Semi-automated</t>
        </is>
      </c>
      <c r="K41" s="30" t="inlineStr">
        <is>
          <t>P1</t>
        </is>
      </c>
      <c r="L41" s="30" t="inlineStr">
        <is>
          <t>High</t>
        </is>
      </c>
      <c r="M41" s="30" t="inlineStr">
        <is>
          <t>YES</t>
        </is>
      </c>
      <c r="N41" s="30" t="inlineStr">
        <is>
          <t>NOT STARTED</t>
        </is>
      </c>
      <c r="O41" s="30" t="n"/>
      <c r="P41" s="30" t="n"/>
      <c r="Q41" s="30" t="n"/>
      <c r="R41" s="30" t="inlineStr">
        <is>
          <t>NOT TESTED</t>
        </is>
      </c>
      <c r="S41" s="30" t="n"/>
      <c r="T41" s="31" t="inlineStr">
        <is>
          <t>Before MVP</t>
        </is>
      </c>
    </row>
    <row r="42">
      <c r="A42" s="29" t="inlineStr">
        <is>
          <t>T040</t>
        </is>
      </c>
      <c r="B42" s="30" t="inlineStr">
        <is>
          <t>Cross-platform</t>
        </is>
      </c>
      <c r="C42" s="30" t="inlineStr">
        <is>
          <t>7-Performance</t>
        </is>
      </c>
      <c r="D42" s="30" t="inlineStr">
        <is>
          <t>Memory leak</t>
        </is>
      </c>
      <c r="E42" s="30" t="inlineStr">
        <is>
          <t>Navigation loop</t>
        </is>
      </c>
      <c r="F42" s="30" t="inlineStr">
        <is>
          <t>Repeat key screen cycle 100x; take heap snapshots</t>
        </is>
      </c>
      <c r="G42" s="30" t="inlineStr">
        <is>
          <t>Repeat the defined navigation cycle 100 times, taking baseline/intermediate/final heap snapshots and allowing idle/GC between checkpoints.</t>
        </is>
      </c>
      <c r="H42" s="30" t="inlineStr">
        <is>
          <t>No unbounded retained growth</t>
        </is>
      </c>
      <c r="I42" s="30" t="inlineStr">
        <is>
          <t>Heap profiler</t>
        </is>
      </c>
      <c r="J42" s="30" t="inlineStr">
        <is>
          <t>Manual</t>
        </is>
      </c>
      <c r="K42" s="30" t="inlineStr">
        <is>
          <t>P1</t>
        </is>
      </c>
      <c r="L42" s="30" t="inlineStr">
        <is>
          <t>High</t>
        </is>
      </c>
      <c r="M42" s="30" t="inlineStr">
        <is>
          <t>YES</t>
        </is>
      </c>
      <c r="N42" s="30" t="inlineStr">
        <is>
          <t>NOT STARTED</t>
        </is>
      </c>
      <c r="O42" s="30" t="n"/>
      <c r="P42" s="30" t="n"/>
      <c r="Q42" s="30" t="n"/>
      <c r="R42" s="30" t="inlineStr">
        <is>
          <t>NOT TESTED</t>
        </is>
      </c>
      <c r="S42" s="30" t="n"/>
      <c r="T42" s="31" t="inlineStr">
        <is>
          <t>Before MVP</t>
        </is>
      </c>
    </row>
    <row r="43">
      <c r="A43" s="29" t="inlineStr">
        <is>
          <t>T041</t>
        </is>
      </c>
      <c r="B43" s="30" t="inlineStr">
        <is>
          <t>Cross-platform</t>
        </is>
      </c>
      <c r="C43" s="30" t="inlineStr">
        <is>
          <t>7-Performance</t>
        </is>
      </c>
      <c r="D43" s="30" t="inlineStr">
        <is>
          <t>Memory leak</t>
        </is>
      </c>
      <c r="E43" s="30" t="inlineStr">
        <is>
          <t>Import/export loop</t>
        </is>
      </c>
      <c r="F43" s="30" t="inlineStr">
        <is>
          <t>Repeat import/export sequence</t>
        </is>
      </c>
      <c r="G43" s="30" t="inlineStr">
        <is>
          <t>Repeat a representative import/export cycle multiple times; capture memory before, during and after idle/GC.</t>
        </is>
      </c>
      <c r="H43" s="30" t="inlineStr">
        <is>
          <t>Memory returns near baseline after idle/GC</t>
        </is>
      </c>
      <c r="I43" s="30" t="inlineStr">
        <is>
          <t>Profiler</t>
        </is>
      </c>
      <c r="J43" s="30" t="inlineStr">
        <is>
          <t>Manual</t>
        </is>
      </c>
      <c r="K43" s="30" t="inlineStr">
        <is>
          <t>P2</t>
        </is>
      </c>
      <c r="L43" s="30" t="inlineStr">
        <is>
          <t>Medium</t>
        </is>
      </c>
      <c r="M43" s="30" t="inlineStr">
        <is>
          <t>NO</t>
        </is>
      </c>
      <c r="N43" s="30" t="inlineStr">
        <is>
          <t>NOT STARTED</t>
        </is>
      </c>
      <c r="O43" s="30" t="n"/>
      <c r="P43" s="30" t="n"/>
      <c r="Q43" s="30" t="n"/>
      <c r="R43" s="30" t="inlineStr">
        <is>
          <t>NOT TESTED</t>
        </is>
      </c>
      <c r="S43" s="30" t="n"/>
      <c r="T43" s="31" t="inlineStr">
        <is>
          <t>Before MVP</t>
        </is>
      </c>
    </row>
    <row r="44">
      <c r="A44" s="29" t="inlineStr">
        <is>
          <t>T042</t>
        </is>
      </c>
      <c r="B44" s="30" t="inlineStr">
        <is>
          <t>Cross-platform</t>
        </is>
      </c>
      <c r="C44" s="30" t="inlineStr">
        <is>
          <t>8-UX</t>
        </is>
      </c>
      <c r="D44" s="30" t="inlineStr">
        <is>
          <t>Error UX</t>
        </is>
      </c>
      <c r="E44" s="30" t="inlineStr">
        <is>
          <t>Recoverable failure</t>
        </is>
      </c>
      <c r="F44" s="30" t="inlineStr">
        <is>
          <t>Force network/file validation error</t>
        </is>
      </c>
      <c r="G44" s="30" t="inlineStr">
        <is>
          <t>Force representative network and file-validation failures from core flows; verify the message, recovery action and preserved state.</t>
        </is>
      </c>
      <c r="H44" s="30" t="inlineStr">
        <is>
          <t>Message explains problem + next action; no dead end</t>
        </is>
      </c>
      <c r="I44" s="30" t="inlineStr">
        <is>
          <t>Manual</t>
        </is>
      </c>
      <c r="J44" s="30" t="inlineStr">
        <is>
          <t>Manual</t>
        </is>
      </c>
      <c r="K44" s="30" t="inlineStr">
        <is>
          <t>P1</t>
        </is>
      </c>
      <c r="L44" s="30" t="inlineStr">
        <is>
          <t>High</t>
        </is>
      </c>
      <c r="M44" s="30" t="inlineStr">
        <is>
          <t>YES</t>
        </is>
      </c>
      <c r="N44" s="30" t="inlineStr">
        <is>
          <t>NOT STARTED</t>
        </is>
      </c>
      <c r="O44" s="30" t="n"/>
      <c r="P44" s="30" t="n"/>
      <c r="Q44" s="30" t="n"/>
      <c r="R44" s="30" t="inlineStr">
        <is>
          <t>NOT TESTED</t>
        </is>
      </c>
      <c r="S44" s="30" t="n"/>
      <c r="T44" s="31" t="inlineStr">
        <is>
          <t>Every release</t>
        </is>
      </c>
    </row>
    <row r="45">
      <c r="A45" s="29" t="inlineStr">
        <is>
          <t>T043</t>
        </is>
      </c>
      <c r="B45" s="30" t="inlineStr">
        <is>
          <t>Cross-platform</t>
        </is>
      </c>
      <c r="C45" s="30" t="inlineStr">
        <is>
          <t>8-UX</t>
        </is>
      </c>
      <c r="D45" s="30" t="inlineStr">
        <is>
          <t>Empty states</t>
        </is>
      </c>
      <c r="E45" s="30" t="inlineStr">
        <is>
          <t>Fresh account/install</t>
        </is>
      </c>
      <c r="F45" s="30" t="inlineStr">
        <is>
          <t>Open all data screens with no records</t>
        </is>
      </c>
      <c r="G45" s="30" t="inlineStr">
        <is>
          <t>Use a fresh install/account with zero records; open each primary data screen and attempt the intended first action.</t>
        </is>
      </c>
      <c r="H45" s="30" t="inlineStr">
        <is>
          <t>Clear CTA and no broken layout</t>
        </is>
      </c>
      <c r="I45" s="30" t="inlineStr">
        <is>
          <t>Manual</t>
        </is>
      </c>
      <c r="J45" s="30" t="inlineStr">
        <is>
          <t>Manual</t>
        </is>
      </c>
      <c r="K45" s="30" t="inlineStr">
        <is>
          <t>P2</t>
        </is>
      </c>
      <c r="L45" s="30" t="inlineStr">
        <is>
          <t>Medium</t>
        </is>
      </c>
      <c r="M45" s="30" t="inlineStr">
        <is>
          <t>NO</t>
        </is>
      </c>
      <c r="N45" s="30" t="inlineStr">
        <is>
          <t>NOT STARTED</t>
        </is>
      </c>
      <c r="O45" s="30" t="n"/>
      <c r="P45" s="30" t="n"/>
      <c r="Q45" s="30" t="n"/>
      <c r="R45" s="30" t="inlineStr">
        <is>
          <t>NOT TESTED</t>
        </is>
      </c>
      <c r="S45" s="30" t="n"/>
      <c r="T45" s="31" t="inlineStr">
        <is>
          <t>Before MVP</t>
        </is>
      </c>
    </row>
    <row r="46">
      <c r="A46" s="29" t="inlineStr">
        <is>
          <t>T044</t>
        </is>
      </c>
      <c r="B46" s="30" t="inlineStr">
        <is>
          <t>Cross-platform</t>
        </is>
      </c>
      <c r="C46" s="30" t="inlineStr">
        <is>
          <t>8-UX</t>
        </is>
      </c>
      <c r="D46" s="30" t="inlineStr">
        <is>
          <t>Loading states</t>
        </is>
      </c>
      <c r="E46" s="30" t="inlineStr">
        <is>
          <t>Slow operations</t>
        </is>
      </c>
      <c r="F46" s="30" t="inlineStr">
        <is>
          <t>Throttle CPU/network; run import/API calls</t>
        </is>
      </c>
      <c r="G46" s="30" t="inlineStr">
        <is>
          <t>Throttle CPU/network and run slow import/API operations; attempt repeated taps/clicks while the operation is pending.</t>
        </is>
      </c>
      <c r="H46" s="30" t="inlineStr">
        <is>
          <t>Loading visible; duplicate actions prevented</t>
        </is>
      </c>
      <c r="I46" s="30" t="inlineStr">
        <is>
          <t>Manual</t>
        </is>
      </c>
      <c r="J46" s="30" t="inlineStr">
        <is>
          <t>Manual</t>
        </is>
      </c>
      <c r="K46" s="30" t="inlineStr">
        <is>
          <t>P2</t>
        </is>
      </c>
      <c r="L46" s="30" t="inlineStr">
        <is>
          <t>Medium</t>
        </is>
      </c>
      <c r="M46" s="30" t="inlineStr">
        <is>
          <t>NO</t>
        </is>
      </c>
      <c r="N46" s="30" t="inlineStr">
        <is>
          <t>NOT STARTED</t>
        </is>
      </c>
      <c r="O46" s="30" t="n"/>
      <c r="P46" s="30" t="n"/>
      <c r="Q46" s="30" t="n"/>
      <c r="R46" s="30" t="inlineStr">
        <is>
          <t>NOT TESTED</t>
        </is>
      </c>
      <c r="S46" s="30" t="n"/>
      <c r="T46" s="31" t="inlineStr">
        <is>
          <t>Before MVP</t>
        </is>
      </c>
    </row>
    <row r="47">
      <c r="A47" s="29" t="inlineStr">
        <is>
          <t>T045</t>
        </is>
      </c>
      <c r="B47" s="30" t="inlineStr">
        <is>
          <t>Cross-platform</t>
        </is>
      </c>
      <c r="C47" s="30" t="inlineStr">
        <is>
          <t>8-UX</t>
        </is>
      </c>
      <c r="D47" s="30" t="inlineStr">
        <is>
          <t>Accessibility</t>
        </is>
      </c>
      <c r="E47" s="30" t="inlineStr">
        <is>
          <t>Keyboard/focus/labels</t>
        </is>
      </c>
      <c r="F47" s="30" t="inlineStr">
        <is>
          <t>Navigate core screens with keyboard/screen reader where supported</t>
        </is>
      </c>
      <c r="G47" s="30" t="inlineStr">
        <is>
          <t>Traverse every core flow using keyboard and, where supported, a screen reader; inspect focus order, labels and activation.</t>
        </is>
      </c>
      <c r="H47" s="30" t="inlineStr">
        <is>
          <t>Critical controls named and reachable</t>
        </is>
      </c>
      <c r="I47" s="30" t="inlineStr">
        <is>
          <t>Axe/manual</t>
        </is>
      </c>
      <c r="J47" s="30" t="inlineStr">
        <is>
          <t>Semi-automated</t>
        </is>
      </c>
      <c r="K47" s="30" t="inlineStr">
        <is>
          <t>P1</t>
        </is>
      </c>
      <c r="L47" s="30" t="inlineStr">
        <is>
          <t>High</t>
        </is>
      </c>
      <c r="M47" s="30" t="inlineStr">
        <is>
          <t>YES</t>
        </is>
      </c>
      <c r="N47" s="30" t="inlineStr">
        <is>
          <t>NOT STARTED</t>
        </is>
      </c>
      <c r="O47" s="30" t="n"/>
      <c r="P47" s="30" t="n"/>
      <c r="Q47" s="30" t="n"/>
      <c r="R47" s="30" t="inlineStr">
        <is>
          <t>NOT TESTED</t>
        </is>
      </c>
      <c r="S47" s="30" t="n"/>
      <c r="T47" s="31" t="inlineStr">
        <is>
          <t>Before MVP</t>
        </is>
      </c>
    </row>
    <row r="48">
      <c r="A48" s="29" t="inlineStr">
        <is>
          <t>T046</t>
        </is>
      </c>
      <c r="B48" s="30" t="inlineStr">
        <is>
          <t>Cross-platform</t>
        </is>
      </c>
      <c r="C48" s="30" t="inlineStr">
        <is>
          <t>8-UX</t>
        </is>
      </c>
      <c r="D48" s="30" t="inlineStr">
        <is>
          <t>Accessibility</t>
        </is>
      </c>
      <c r="E48" s="30" t="inlineStr">
        <is>
          <t>Text scaling</t>
        </is>
      </c>
      <c r="F48" s="30" t="inlineStr">
        <is>
          <t>Increase text/system scaling</t>
        </is>
      </c>
      <c r="G48" s="30" t="inlineStr">
        <is>
          <t>Increase OS/browser text or display scaling to supported high settings; run the critical flows and inspect clipping/overlap.</t>
        </is>
      </c>
      <c r="H48" s="30" t="inlineStr">
        <is>
          <t>Core actions remain visible and usable</t>
        </is>
      </c>
      <c r="I48" s="30" t="inlineStr">
        <is>
          <t>Manual</t>
        </is>
      </c>
      <c r="J48" s="30" t="inlineStr">
        <is>
          <t>Manual</t>
        </is>
      </c>
      <c r="K48" s="30" t="inlineStr">
        <is>
          <t>P2</t>
        </is>
      </c>
      <c r="L48" s="30" t="inlineStr">
        <is>
          <t>Medium</t>
        </is>
      </c>
      <c r="M48" s="30" t="inlineStr">
        <is>
          <t>NO</t>
        </is>
      </c>
      <c r="N48" s="30" t="inlineStr">
        <is>
          <t>NOT STARTED</t>
        </is>
      </c>
      <c r="O48" s="30" t="n"/>
      <c r="P48" s="30" t="n"/>
      <c r="Q48" s="30" t="n"/>
      <c r="R48" s="30" t="inlineStr">
        <is>
          <t>NOT TESTED</t>
        </is>
      </c>
      <c r="S48" s="30" t="n"/>
      <c r="T48" s="31" t="inlineStr">
        <is>
          <t>Before MVP</t>
        </is>
      </c>
    </row>
    <row r="49">
      <c r="A49" s="29" t="inlineStr">
        <is>
          <t>T047</t>
        </is>
      </c>
      <c r="B49" s="30" t="inlineStr">
        <is>
          <t>Cross-platform</t>
        </is>
      </c>
      <c r="C49" s="30" t="inlineStr">
        <is>
          <t>9-Content</t>
        </is>
      </c>
      <c r="D49" s="30" t="inlineStr">
        <is>
          <t>Domain audit</t>
        </is>
      </c>
      <c r="E49" s="30" t="inlineStr">
        <is>
          <t>Formula correctness</t>
        </is>
      </c>
      <c r="F49" s="30" t="inlineStr">
        <is>
          <t>Compare critical formulas against validated examples</t>
        </is>
      </c>
      <c r="G49" s="30" t="inlineStr">
        <is>
          <t>Select representative critical formula cases including boundaries; calculate expected results independently and compare app output within the defined tolerance.</t>
        </is>
      </c>
      <c r="H49" s="30" t="inlineStr">
        <is>
          <t>Known inputs produce exact expected outputs</t>
        </is>
      </c>
      <c r="I49" s="30" t="inlineStr">
        <is>
          <t>Golden fixtures + reviewer</t>
        </is>
      </c>
      <c r="J49" s="30" t="inlineStr">
        <is>
          <t>Semi-automated</t>
        </is>
      </c>
      <c r="K49" s="30" t="inlineStr">
        <is>
          <t>P0</t>
        </is>
      </c>
      <c r="L49" s="30" t="inlineStr">
        <is>
          <t>Critical</t>
        </is>
      </c>
      <c r="M49" s="30" t="inlineStr">
        <is>
          <t>YES</t>
        </is>
      </c>
      <c r="N49" s="30" t="inlineStr">
        <is>
          <t>NOT STARTED</t>
        </is>
      </c>
      <c r="O49" s="30" t="n"/>
      <c r="P49" s="30" t="n"/>
      <c r="Q49" s="30" t="n"/>
      <c r="R49" s="30" t="inlineStr">
        <is>
          <t>NOT TESTED</t>
        </is>
      </c>
      <c r="S49" s="30" t="n"/>
      <c r="T49" s="31" t="inlineStr">
        <is>
          <t>Every release</t>
        </is>
      </c>
    </row>
    <row r="50">
      <c r="A50" s="29" t="inlineStr">
        <is>
          <t>T048</t>
        </is>
      </c>
      <c r="B50" s="30" t="inlineStr">
        <is>
          <t>Cross-platform</t>
        </is>
      </c>
      <c r="C50" s="30" t="inlineStr">
        <is>
          <t>9-Content</t>
        </is>
      </c>
      <c r="D50" s="30" t="inlineStr">
        <is>
          <t>Domain audit</t>
        </is>
      </c>
      <c r="E50" s="30" t="inlineStr">
        <is>
          <t>Warnings/limits</t>
        </is>
      </c>
      <c r="F50" s="30" t="inlineStr">
        <is>
          <t>Verify warnings shown at correct point</t>
        </is>
      </c>
      <c r="G50" s="30" t="inlineStr">
        <is>
          <t>Trigger each relevant condition</t>
        </is>
      </c>
      <c r="H50" s="30" t="inlineStr">
        <is>
          <t>Correct warning and blocking behavior</t>
        </is>
      </c>
      <c r="I50" s="30" t="inlineStr">
        <is>
          <t>Manual</t>
        </is>
      </c>
      <c r="J50" s="30" t="inlineStr">
        <is>
          <t>Manual</t>
        </is>
      </c>
      <c r="K50" s="30" t="inlineStr">
        <is>
          <t>P0</t>
        </is>
      </c>
      <c r="L50" s="30" t="inlineStr">
        <is>
          <t>Critical</t>
        </is>
      </c>
      <c r="M50" s="30" t="inlineStr">
        <is>
          <t>YES</t>
        </is>
      </c>
      <c r="N50" s="30" t="inlineStr">
        <is>
          <t>NOT STARTED</t>
        </is>
      </c>
      <c r="O50" s="30" t="str"/>
      <c r="P50" s="30" t="str"/>
      <c r="Q50" s="30" t="str"/>
      <c r="R50" s="30" t="inlineStr">
        <is>
          <t>NOT TESTED</t>
        </is>
      </c>
      <c r="S50" s="30" t="str"/>
      <c r="T50" s="31" t="inlineStr">
        <is>
          <t>Every release</t>
        </is>
      </c>
    </row>
    <row r="51">
      <c r="A51" s="29" t="inlineStr">
        <is>
          <t>T049</t>
        </is>
      </c>
      <c r="B51" s="30" t="inlineStr">
        <is>
          <t>Cross-platform</t>
        </is>
      </c>
      <c r="C51" s="30" t="inlineStr">
        <is>
          <t>9-Content</t>
        </is>
      </c>
      <c r="D51" s="30" t="inlineStr">
        <is>
          <t>Citations/sources</t>
        </is>
      </c>
      <c r="E51" s="30" t="inlineStr">
        <is>
          <t>Source integrity</t>
        </is>
      </c>
      <c r="F51" s="30" t="inlineStr">
        <is>
          <t>Open source references for critical claims</t>
        </is>
      </c>
      <c r="G51" s="30" t="inlineStr">
        <is>
          <t>Open every source used by critical domain claims; compare the claim, source content and cited version/date.</t>
        </is>
      </c>
      <c r="H51" s="30" t="inlineStr">
        <is>
          <t>Citation/source matches claim/version</t>
        </is>
      </c>
      <c r="I51" s="30" t="inlineStr">
        <is>
          <t>Manual</t>
        </is>
      </c>
      <c r="J51" s="30" t="inlineStr">
        <is>
          <t>Manual</t>
        </is>
      </c>
      <c r="K51" s="30" t="inlineStr">
        <is>
          <t>P1</t>
        </is>
      </c>
      <c r="L51" s="30" t="inlineStr">
        <is>
          <t>High</t>
        </is>
      </c>
      <c r="M51" s="30" t="inlineStr">
        <is>
          <t>YES</t>
        </is>
      </c>
      <c r="N51" s="30" t="inlineStr">
        <is>
          <t>NOT STARTED</t>
        </is>
      </c>
      <c r="O51" s="30" t="n"/>
      <c r="P51" s="30" t="n"/>
      <c r="Q51" s="30" t="n"/>
      <c r="R51" s="30" t="inlineStr">
        <is>
          <t>NOT TESTED</t>
        </is>
      </c>
      <c r="S51" s="30" t="n"/>
      <c r="T51" s="31" t="inlineStr">
        <is>
          <t>Every release</t>
        </is>
      </c>
    </row>
    <row r="52">
      <c r="A52" s="29" t="inlineStr">
        <is>
          <t>T050</t>
        </is>
      </c>
      <c r="B52" s="30" t="inlineStr">
        <is>
          <t>Cross-platform</t>
        </is>
      </c>
      <c r="C52" s="30" t="inlineStr">
        <is>
          <t>10-Regression</t>
        </is>
      </c>
      <c r="D52" s="30" t="inlineStr">
        <is>
          <t>Critical regression</t>
        </is>
      </c>
      <c r="E52" s="30" t="inlineStr">
        <is>
          <t>Known critical flows</t>
        </is>
      </c>
      <c r="F52" s="30" t="inlineStr">
        <is>
          <t>Run frozen critical suite after fixes</t>
        </is>
      </c>
      <c r="G52" s="30" t="inlineStr">
        <is>
          <t>Execute the frozen critical regression suite against the candidate build after fixes; record every case and failure.</t>
        </is>
      </c>
      <c r="H52" s="30" t="inlineStr">
        <is>
          <t>100% pass</t>
        </is>
      </c>
      <c r="I52" s="30" t="inlineStr">
        <is>
          <t>CI/E2E suite</t>
        </is>
      </c>
      <c r="J52" s="30" t="inlineStr">
        <is>
          <t>Automated</t>
        </is>
      </c>
      <c r="K52" s="30" t="inlineStr">
        <is>
          <t>P0</t>
        </is>
      </c>
      <c r="L52" s="30" t="inlineStr">
        <is>
          <t>Critical</t>
        </is>
      </c>
      <c r="M52" s="30" t="inlineStr">
        <is>
          <t>YES</t>
        </is>
      </c>
      <c r="N52" s="30" t="inlineStr">
        <is>
          <t>NOT STARTED</t>
        </is>
      </c>
      <c r="O52" s="30" t="n"/>
      <c r="P52" s="30" t="n"/>
      <c r="Q52" s="30" t="n"/>
      <c r="R52" s="30" t="inlineStr">
        <is>
          <t>NOT TESTED</t>
        </is>
      </c>
      <c r="S52" s="30" t="n"/>
      <c r="T52" s="31" t="inlineStr">
        <is>
          <t>Every build</t>
        </is>
      </c>
    </row>
    <row r="53">
      <c r="A53" s="29" t="inlineStr">
        <is>
          <t>P001</t>
        </is>
      </c>
      <c r="B53" s="30" t="inlineStr">
        <is>
          <t>PC/Web</t>
        </is>
      </c>
      <c r="C53" s="30" t="inlineStr">
        <is>
          <t>11-PC</t>
        </is>
      </c>
      <c r="D53" s="30" t="inlineStr">
        <is>
          <t>Browser compatibility</t>
        </is>
      </c>
      <c r="E53" s="30" t="inlineStr">
        <is>
          <t>Chrome</t>
        </is>
      </c>
      <c r="F53" s="30" t="inlineStr">
        <is>
          <t>Supported Chrome</t>
        </is>
      </c>
      <c r="G53" s="30" t="inlineStr">
        <is>
          <t>Run all critical flows</t>
        </is>
      </c>
      <c r="H53" s="30" t="inlineStr">
        <is>
          <t>100% critical flow pass</t>
        </is>
      </c>
      <c r="I53" s="30" t="inlineStr">
        <is>
          <t>Playwright/manual</t>
        </is>
      </c>
      <c r="J53" s="30" t="inlineStr">
        <is>
          <t>Semi-automated</t>
        </is>
      </c>
      <c r="K53" s="30" t="inlineStr">
        <is>
          <t>P0</t>
        </is>
      </c>
      <c r="L53" s="30" t="inlineStr">
        <is>
          <t>Critical</t>
        </is>
      </c>
      <c r="M53" s="30" t="inlineStr">
        <is>
          <t>YES</t>
        </is>
      </c>
      <c r="N53" s="30" t="inlineStr">
        <is>
          <t>NOT STARTED</t>
        </is>
      </c>
      <c r="O53" s="30" t="str"/>
      <c r="P53" s="30" t="str"/>
      <c r="Q53" s="30" t="str"/>
      <c r="R53" s="30" t="inlineStr">
        <is>
          <t>NOT TESTED</t>
        </is>
      </c>
      <c r="S53" s="30" t="str"/>
      <c r="T53" s="31" t="inlineStr">
        <is>
          <t>Every release</t>
        </is>
      </c>
    </row>
    <row r="54">
      <c r="A54" s="29" t="inlineStr">
        <is>
          <t>P002</t>
        </is>
      </c>
      <c r="B54" s="30" t="inlineStr">
        <is>
          <t>PC/Web</t>
        </is>
      </c>
      <c r="C54" s="30" t="inlineStr">
        <is>
          <t>11-PC</t>
        </is>
      </c>
      <c r="D54" s="30" t="inlineStr">
        <is>
          <t>Browser compatibility</t>
        </is>
      </c>
      <c r="E54" s="30" t="inlineStr">
        <is>
          <t>Edge</t>
        </is>
      </c>
      <c r="F54" s="30" t="inlineStr">
        <is>
          <t>Supported Edge</t>
        </is>
      </c>
      <c r="G54" s="30" t="inlineStr">
        <is>
          <t>Run all critical flows</t>
        </is>
      </c>
      <c r="H54" s="30" t="inlineStr">
        <is>
          <t>100% critical flow pass</t>
        </is>
      </c>
      <c r="I54" s="30" t="inlineStr">
        <is>
          <t>Playwright/manual</t>
        </is>
      </c>
      <c r="J54" s="30" t="inlineStr">
        <is>
          <t>Semi-automated</t>
        </is>
      </c>
      <c r="K54" s="30" t="inlineStr">
        <is>
          <t>P0</t>
        </is>
      </c>
      <c r="L54" s="30" t="inlineStr">
        <is>
          <t>Critical</t>
        </is>
      </c>
      <c r="M54" s="30" t="inlineStr">
        <is>
          <t>YES</t>
        </is>
      </c>
      <c r="N54" s="30" t="inlineStr">
        <is>
          <t>NOT STARTED</t>
        </is>
      </c>
      <c r="O54" s="30" t="str"/>
      <c r="P54" s="30" t="str"/>
      <c r="Q54" s="30" t="str"/>
      <c r="R54" s="30" t="inlineStr">
        <is>
          <t>NOT TESTED</t>
        </is>
      </c>
      <c r="S54" s="30" t="str"/>
      <c r="T54" s="31" t="inlineStr">
        <is>
          <t>Every release</t>
        </is>
      </c>
    </row>
    <row r="55">
      <c r="A55" s="29" t="inlineStr">
        <is>
          <t>P003</t>
        </is>
      </c>
      <c r="B55" s="30" t="inlineStr">
        <is>
          <t>PC/Web</t>
        </is>
      </c>
      <c r="C55" s="30" t="inlineStr">
        <is>
          <t>11-PC</t>
        </is>
      </c>
      <c r="D55" s="30" t="inlineStr">
        <is>
          <t>Browser compatibility</t>
        </is>
      </c>
      <c r="E55" s="30" t="inlineStr">
        <is>
          <t>Firefox</t>
        </is>
      </c>
      <c r="F55" s="30" t="inlineStr">
        <is>
          <t>Supported Firefox if in scope</t>
        </is>
      </c>
      <c r="G55" s="30" t="inlineStr">
        <is>
          <t>Run all critical flows</t>
        </is>
      </c>
      <c r="H55" s="30" t="inlineStr">
        <is>
          <t>100% critical pass or explicitly unsupported</t>
        </is>
      </c>
      <c r="I55" s="30" t="inlineStr">
        <is>
          <t>Playwright/manual</t>
        </is>
      </c>
      <c r="J55" s="30" t="inlineStr">
        <is>
          <t>Semi-automated</t>
        </is>
      </c>
      <c r="K55" s="30" t="inlineStr">
        <is>
          <t>P1</t>
        </is>
      </c>
      <c r="L55" s="30" t="inlineStr">
        <is>
          <t>High</t>
        </is>
      </c>
      <c r="M55" s="30" t="inlineStr">
        <is>
          <t>YES</t>
        </is>
      </c>
      <c r="N55" s="30" t="inlineStr">
        <is>
          <t>NOT STARTED</t>
        </is>
      </c>
      <c r="O55" s="30" t="str"/>
      <c r="P55" s="30" t="str"/>
      <c r="Q55" s="30" t="str"/>
      <c r="R55" s="30" t="inlineStr">
        <is>
          <t>NOT TESTED</t>
        </is>
      </c>
      <c r="S55" s="30" t="str"/>
      <c r="T55" s="31" t="inlineStr">
        <is>
          <t>Every release</t>
        </is>
      </c>
    </row>
    <row r="56">
      <c r="A56" s="29" t="inlineStr">
        <is>
          <t>P004</t>
        </is>
      </c>
      <c r="B56" s="30" t="inlineStr">
        <is>
          <t>PC/Web</t>
        </is>
      </c>
      <c r="C56" s="30" t="inlineStr">
        <is>
          <t>11-PC</t>
        </is>
      </c>
      <c r="D56" s="30" t="inlineStr">
        <is>
          <t>Display compatibility</t>
        </is>
      </c>
      <c r="E56" s="30" t="inlineStr">
        <is>
          <t>1366×768</t>
        </is>
      </c>
      <c r="F56" s="30" t="inlineStr">
        <is>
          <t>Low desktop resolution</t>
        </is>
      </c>
      <c r="G56" s="30" t="inlineStr">
        <is>
          <t>Run top 10 screens at 1366×768</t>
        </is>
      </c>
      <c r="H56" s="30" t="inlineStr">
        <is>
          <t>No hidden/overlapping critical controls</t>
        </is>
      </c>
      <c r="I56" s="30" t="inlineStr">
        <is>
          <t>Manual/screenshots</t>
        </is>
      </c>
      <c r="J56" s="30" t="inlineStr">
        <is>
          <t>Manual</t>
        </is>
      </c>
      <c r="K56" s="30" t="inlineStr">
        <is>
          <t>P1</t>
        </is>
      </c>
      <c r="L56" s="30" t="inlineStr">
        <is>
          <t>High</t>
        </is>
      </c>
      <c r="M56" s="30" t="inlineStr">
        <is>
          <t>YES</t>
        </is>
      </c>
      <c r="N56" s="30" t="inlineStr">
        <is>
          <t>NOT STARTED</t>
        </is>
      </c>
      <c r="O56" s="30" t="str"/>
      <c r="P56" s="30" t="str"/>
      <c r="Q56" s="30" t="str"/>
      <c r="R56" s="30" t="inlineStr">
        <is>
          <t>NOT TESTED</t>
        </is>
      </c>
      <c r="S56" s="30" t="str"/>
      <c r="T56" s="31" t="inlineStr">
        <is>
          <t>Every release</t>
        </is>
      </c>
    </row>
    <row r="57">
      <c r="A57" s="29" t="inlineStr">
        <is>
          <t>P005</t>
        </is>
      </c>
      <c r="B57" s="30" t="inlineStr">
        <is>
          <t>PC/Web</t>
        </is>
      </c>
      <c r="C57" s="30" t="inlineStr">
        <is>
          <t>11-PC</t>
        </is>
      </c>
      <c r="D57" s="30" t="inlineStr">
        <is>
          <t>Display compatibility</t>
        </is>
      </c>
      <c r="E57" s="30" t="inlineStr">
        <is>
          <t>1920×1080</t>
        </is>
      </c>
      <c r="F57" s="30" t="inlineStr">
        <is>
          <t>Reference desktop resolution</t>
        </is>
      </c>
      <c r="G57" s="30" t="inlineStr">
        <is>
          <t>Run top 10 screens</t>
        </is>
      </c>
      <c r="H57" s="30" t="inlineStr">
        <is>
          <t>Layout stable; no clipping</t>
        </is>
      </c>
      <c r="I57" s="30" t="inlineStr">
        <is>
          <t>Manual/screenshots</t>
        </is>
      </c>
      <c r="J57" s="30" t="inlineStr">
        <is>
          <t>Manual</t>
        </is>
      </c>
      <c r="K57" s="30" t="inlineStr">
        <is>
          <t>P2</t>
        </is>
      </c>
      <c r="L57" s="30" t="inlineStr">
        <is>
          <t>Medium</t>
        </is>
      </c>
      <c r="M57" s="30" t="inlineStr">
        <is>
          <t>NO</t>
        </is>
      </c>
      <c r="N57" s="30" t="inlineStr">
        <is>
          <t>NOT STARTED</t>
        </is>
      </c>
      <c r="O57" s="30" t="str"/>
      <c r="P57" s="30" t="str"/>
      <c r="Q57" s="30" t="str"/>
      <c r="R57" s="30" t="inlineStr">
        <is>
          <t>NOT TESTED</t>
        </is>
      </c>
      <c r="S57" s="30" t="str"/>
      <c r="T57" s="31" t="inlineStr">
        <is>
          <t>Every release</t>
        </is>
      </c>
    </row>
    <row r="58">
      <c r="A58" s="29" t="inlineStr">
        <is>
          <t>P006</t>
        </is>
      </c>
      <c r="B58" s="30" t="inlineStr">
        <is>
          <t>PC/Web</t>
        </is>
      </c>
      <c r="C58" s="30" t="inlineStr">
        <is>
          <t>11-PC</t>
        </is>
      </c>
      <c r="D58" s="30" t="inlineStr">
        <is>
          <t>Display compatibility</t>
        </is>
      </c>
      <c r="E58" s="30" t="inlineStr">
        <is>
          <t>4K + scaling</t>
        </is>
      </c>
      <c r="F58" s="30" t="inlineStr">
        <is>
          <t>4K at 150–200% Windows scaling</t>
        </is>
      </c>
      <c r="G58" s="30" t="inlineStr">
        <is>
          <t>Run critical screens</t>
        </is>
      </c>
      <c r="H58" s="30" t="inlineStr">
        <is>
          <t>No tiny/unreachable/clipped critical UI</t>
        </is>
      </c>
      <c r="I58" s="30" t="inlineStr">
        <is>
          <t>Manual</t>
        </is>
      </c>
      <c r="J58" s="30" t="inlineStr">
        <is>
          <t>Manual</t>
        </is>
      </c>
      <c r="K58" s="30" t="inlineStr">
        <is>
          <t>P1</t>
        </is>
      </c>
      <c r="L58" s="30" t="inlineStr">
        <is>
          <t>High</t>
        </is>
      </c>
      <c r="M58" s="30" t="inlineStr">
        <is>
          <t>YES</t>
        </is>
      </c>
      <c r="N58" s="30" t="inlineStr">
        <is>
          <t>NOT STARTED</t>
        </is>
      </c>
      <c r="O58" s="30" t="str"/>
      <c r="P58" s="30" t="str"/>
      <c r="Q58" s="30" t="str"/>
      <c r="R58" s="30" t="inlineStr">
        <is>
          <t>NOT TESTED</t>
        </is>
      </c>
      <c r="S58" s="30" t="str"/>
      <c r="T58" s="31" t="inlineStr">
        <is>
          <t>Before MVP</t>
        </is>
      </c>
    </row>
    <row r="59">
      <c r="A59" s="29" t="inlineStr">
        <is>
          <t>P007</t>
        </is>
      </c>
      <c r="B59" s="30" t="inlineStr">
        <is>
          <t>PC/Web</t>
        </is>
      </c>
      <c r="C59" s="30" t="inlineStr">
        <is>
          <t>11-PC</t>
        </is>
      </c>
      <c r="D59" s="30" t="inlineStr">
        <is>
          <t>Window behavior</t>
        </is>
      </c>
      <c r="E59" s="30" t="inlineStr">
        <is>
          <t>Resize</t>
        </is>
      </c>
      <c r="F59" s="30" t="inlineStr">
        <is>
          <t>Continuous resize</t>
        </is>
      </c>
      <c r="G59" s="30" t="inlineStr">
        <is>
          <t>Resize through breakpoints</t>
        </is>
      </c>
      <c r="H59" s="30" t="inlineStr">
        <is>
          <t>Layout adapts; no unusable breakpoint</t>
        </is>
      </c>
      <c r="I59" s="30" t="inlineStr">
        <is>
          <t>Manual</t>
        </is>
      </c>
      <c r="J59" s="30" t="inlineStr">
        <is>
          <t>Manual</t>
        </is>
      </c>
      <c r="K59" s="30" t="inlineStr">
        <is>
          <t>P2</t>
        </is>
      </c>
      <c r="L59" s="30" t="inlineStr">
        <is>
          <t>Medium</t>
        </is>
      </c>
      <c r="M59" s="30" t="inlineStr">
        <is>
          <t>NO</t>
        </is>
      </c>
      <c r="N59" s="30" t="inlineStr">
        <is>
          <t>NOT STARTED</t>
        </is>
      </c>
      <c r="O59" s="30" t="str"/>
      <c r="P59" s="30" t="str"/>
      <c r="Q59" s="30" t="str"/>
      <c r="R59" s="30" t="inlineStr">
        <is>
          <t>NOT TESTED</t>
        </is>
      </c>
      <c r="S59" s="30" t="str"/>
      <c r="T59" s="31" t="inlineStr">
        <is>
          <t>Before MVP</t>
        </is>
      </c>
    </row>
    <row r="60">
      <c r="A60" s="29" t="inlineStr">
        <is>
          <t>P008</t>
        </is>
      </c>
      <c r="B60" s="30" t="inlineStr">
        <is>
          <t>PC/Web</t>
        </is>
      </c>
      <c r="C60" s="30" t="inlineStr">
        <is>
          <t>11-PC</t>
        </is>
      </c>
      <c r="D60" s="30" t="inlineStr">
        <is>
          <t>Window behavior</t>
        </is>
      </c>
      <c r="E60" s="30" t="inlineStr">
        <is>
          <t>Multi-monitor</t>
        </is>
      </c>
      <c r="F60" s="30" t="inlineStr">
        <is>
          <t>Move across monitors with different DPI</t>
        </is>
      </c>
      <c r="G60" s="30" t="inlineStr">
        <is>
          <t>Open dialogs and move app</t>
        </is>
      </c>
      <c r="H60" s="30" t="inlineStr">
        <is>
          <t>Dialogs remain visible and correctly positioned</t>
        </is>
      </c>
      <c r="I60" s="30" t="inlineStr">
        <is>
          <t>Manual</t>
        </is>
      </c>
      <c r="J60" s="30" t="inlineStr">
        <is>
          <t>Manual</t>
        </is>
      </c>
      <c r="K60" s="30" t="inlineStr">
        <is>
          <t>P2</t>
        </is>
      </c>
      <c r="L60" s="30" t="inlineStr">
        <is>
          <t>Medium</t>
        </is>
      </c>
      <c r="M60" s="30" t="inlineStr">
        <is>
          <t>NO</t>
        </is>
      </c>
      <c r="N60" s="30" t="inlineStr">
        <is>
          <t>NOT STARTED</t>
        </is>
      </c>
      <c r="O60" s="30" t="str"/>
      <c r="P60" s="30" t="str"/>
      <c r="Q60" s="30" t="str"/>
      <c r="R60" s="30" t="inlineStr">
        <is>
          <t>NOT TESTED</t>
        </is>
      </c>
      <c r="S60" s="30" t="str"/>
      <c r="T60" s="31" t="inlineStr">
        <is>
          <t>Before MVP</t>
        </is>
      </c>
    </row>
    <row r="61">
      <c r="A61" s="29" t="inlineStr">
        <is>
          <t>P009</t>
        </is>
      </c>
      <c r="B61" s="30" t="inlineStr">
        <is>
          <t>PC/Web</t>
        </is>
      </c>
      <c r="C61" s="30" t="inlineStr">
        <is>
          <t>11-PC</t>
        </is>
      </c>
      <c r="D61" s="30" t="inlineStr">
        <is>
          <t>Keyboard usability</t>
        </is>
      </c>
      <c r="E61" s="30" t="inlineStr">
        <is>
          <t>Tab order</t>
        </is>
      </c>
      <c r="F61" s="30" t="inlineStr">
        <is>
          <t>Complete core flow without mouse</t>
        </is>
      </c>
      <c r="G61" s="30" t="inlineStr">
        <is>
          <t>Use Tab/Shift+Tab/Enter</t>
        </is>
      </c>
      <c r="H61" s="30" t="inlineStr">
        <is>
          <t>Logical focus and visible focus state</t>
        </is>
      </c>
      <c r="I61" s="30" t="inlineStr">
        <is>
          <t>Manual</t>
        </is>
      </c>
      <c r="J61" s="30" t="inlineStr">
        <is>
          <t>Manual</t>
        </is>
      </c>
      <c r="K61" s="30" t="inlineStr">
        <is>
          <t>P1</t>
        </is>
      </c>
      <c r="L61" s="30" t="inlineStr">
        <is>
          <t>High</t>
        </is>
      </c>
      <c r="M61" s="30" t="inlineStr">
        <is>
          <t>YES</t>
        </is>
      </c>
      <c r="N61" s="30" t="inlineStr">
        <is>
          <t>NOT STARTED</t>
        </is>
      </c>
      <c r="O61" s="30" t="str"/>
      <c r="P61" s="30" t="str"/>
      <c r="Q61" s="30" t="str"/>
      <c r="R61" s="30" t="inlineStr">
        <is>
          <t>NOT TESTED</t>
        </is>
      </c>
      <c r="S61" s="30" t="str"/>
      <c r="T61" s="31" t="inlineStr">
        <is>
          <t>Before MVP</t>
        </is>
      </c>
    </row>
    <row r="62">
      <c r="A62" s="29" t="inlineStr">
        <is>
          <t>P010</t>
        </is>
      </c>
      <c r="B62" s="30" t="inlineStr">
        <is>
          <t>PC/Web</t>
        </is>
      </c>
      <c r="C62" s="30" t="inlineStr">
        <is>
          <t>11-PC</t>
        </is>
      </c>
      <c r="D62" s="30" t="inlineStr">
        <is>
          <t>Keyboard usability</t>
        </is>
      </c>
      <c r="E62" s="30" t="inlineStr">
        <is>
          <t>Enter/Escape</t>
        </is>
      </c>
      <c r="F62" s="30" t="inlineStr">
        <is>
          <t>Submit/cancel/modal behavior</t>
        </is>
      </c>
      <c r="G62" s="30" t="inlineStr">
        <is>
          <t>Test Enter/Escape in forms/modals</t>
        </is>
      </c>
      <c r="H62" s="30" t="inlineStr">
        <is>
          <t>No accidental destructive action</t>
        </is>
      </c>
      <c r="I62" s="30" t="inlineStr">
        <is>
          <t>Manual</t>
        </is>
      </c>
      <c r="J62" s="30" t="inlineStr">
        <is>
          <t>Manual</t>
        </is>
      </c>
      <c r="K62" s="30" t="inlineStr">
        <is>
          <t>P2</t>
        </is>
      </c>
      <c r="L62" s="30" t="inlineStr">
        <is>
          <t>Medium</t>
        </is>
      </c>
      <c r="M62" s="30" t="inlineStr">
        <is>
          <t>NO</t>
        </is>
      </c>
      <c r="N62" s="30" t="inlineStr">
        <is>
          <t>NOT STARTED</t>
        </is>
      </c>
      <c r="O62" s="30" t="str"/>
      <c r="P62" s="30" t="str"/>
      <c r="Q62" s="30" t="str"/>
      <c r="R62" s="30" t="inlineStr">
        <is>
          <t>NOT TESTED</t>
        </is>
      </c>
      <c r="S62" s="30" t="str"/>
      <c r="T62" s="31" t="inlineStr">
        <is>
          <t>Before MVP</t>
        </is>
      </c>
    </row>
    <row r="63">
      <c r="A63" s="29" t="inlineStr">
        <is>
          <t>P011</t>
        </is>
      </c>
      <c r="B63" s="30" t="inlineStr">
        <is>
          <t>PC/Web</t>
        </is>
      </c>
      <c r="C63" s="30" t="inlineStr">
        <is>
          <t>11-PC</t>
        </is>
      </c>
      <c r="D63" s="30" t="inlineStr">
        <is>
          <t>Clipboard</t>
        </is>
      </c>
      <c r="E63" s="30" t="inlineStr">
        <is>
          <t>Paste large/unicode</t>
        </is>
      </c>
      <c r="F63" s="30" t="inlineStr">
        <is>
          <t>Paste multiline/unicode/long values</t>
        </is>
      </c>
      <c r="G63" s="30" t="inlineStr">
        <is>
          <t>Use forms and editors</t>
        </is>
      </c>
      <c r="H63" s="30" t="inlineStr">
        <is>
          <t>No crash; validation works</t>
        </is>
      </c>
      <c r="I63" s="30" t="inlineStr">
        <is>
          <t>Manual</t>
        </is>
      </c>
      <c r="J63" s="30" t="inlineStr">
        <is>
          <t>Manual</t>
        </is>
      </c>
      <c r="K63" s="30" t="inlineStr">
        <is>
          <t>P2</t>
        </is>
      </c>
      <c r="L63" s="30" t="inlineStr">
        <is>
          <t>Medium</t>
        </is>
      </c>
      <c r="M63" s="30" t="inlineStr">
        <is>
          <t>NO</t>
        </is>
      </c>
      <c r="N63" s="30" t="inlineStr">
        <is>
          <t>NOT STARTED</t>
        </is>
      </c>
      <c r="O63" s="30" t="str"/>
      <c r="P63" s="30" t="str"/>
      <c r="Q63" s="30" t="str"/>
      <c r="R63" s="30" t="inlineStr">
        <is>
          <t>NOT TESTED</t>
        </is>
      </c>
      <c r="S63" s="30" t="str"/>
      <c r="T63" s="31" t="inlineStr">
        <is>
          <t>Before MVP</t>
        </is>
      </c>
    </row>
    <row r="64">
      <c r="A64" s="29" t="inlineStr">
        <is>
          <t>P012</t>
        </is>
      </c>
      <c r="B64" s="30" t="inlineStr">
        <is>
          <t>PC/Web</t>
        </is>
      </c>
      <c r="C64" s="30" t="inlineStr">
        <is>
          <t>11-PC</t>
        </is>
      </c>
      <c r="D64" s="30" t="inlineStr">
        <is>
          <t>Filesystem</t>
        </is>
      </c>
      <c r="E64" s="30" t="inlineStr">
        <is>
          <t>Spaces in path</t>
        </is>
      </c>
      <c r="F64" s="30" t="inlineStr">
        <is>
          <t>Import/export from path with spaces</t>
        </is>
      </c>
      <c r="G64" s="30" t="inlineStr">
        <is>
          <t>Use nested folder path</t>
        </is>
      </c>
      <c r="H64" s="30" t="inlineStr">
        <is>
          <t>Operation succeeds</t>
        </is>
      </c>
      <c r="I64" s="30" t="inlineStr">
        <is>
          <t>Fixture folders</t>
        </is>
      </c>
      <c r="J64" s="30" t="inlineStr">
        <is>
          <t>Manual</t>
        </is>
      </c>
      <c r="K64" s="30" t="inlineStr">
        <is>
          <t>P1</t>
        </is>
      </c>
      <c r="L64" s="30" t="inlineStr">
        <is>
          <t>High</t>
        </is>
      </c>
      <c r="M64" s="30" t="inlineStr">
        <is>
          <t>YES</t>
        </is>
      </c>
      <c r="N64" s="30" t="inlineStr">
        <is>
          <t>NOT STARTED</t>
        </is>
      </c>
      <c r="O64" s="30" t="str"/>
      <c r="P64" s="30" t="str"/>
      <c r="Q64" s="30" t="str"/>
      <c r="R64" s="30" t="inlineStr">
        <is>
          <t>NOT TESTED</t>
        </is>
      </c>
      <c r="S64" s="30" t="str"/>
      <c r="T64" s="31" t="inlineStr">
        <is>
          <t>Before MVP</t>
        </is>
      </c>
    </row>
    <row r="65">
      <c r="A65" s="29" t="inlineStr">
        <is>
          <t>P013</t>
        </is>
      </c>
      <c r="B65" s="30" t="inlineStr">
        <is>
          <t>PC/Web</t>
        </is>
      </c>
      <c r="C65" s="30" t="inlineStr">
        <is>
          <t>11-PC</t>
        </is>
      </c>
      <c r="D65" s="30" t="inlineStr">
        <is>
          <t>Filesystem</t>
        </is>
      </c>
      <c r="E65" s="30" t="inlineStr">
        <is>
          <t>Cyrillic/Unicode path</t>
        </is>
      </c>
      <c r="F65" s="30" t="inlineStr">
        <is>
          <t>Use Cyrillic/emoji in names</t>
        </is>
      </c>
      <c r="G65" s="30" t="inlineStr">
        <is>
          <t>Import/export/read files</t>
        </is>
      </c>
      <c r="H65" s="30" t="inlineStr">
        <is>
          <t>Operation succeeds or clear limitation</t>
        </is>
      </c>
      <c r="I65" s="30" t="inlineStr">
        <is>
          <t>Fixture folders</t>
        </is>
      </c>
      <c r="J65" s="30" t="inlineStr">
        <is>
          <t>Manual</t>
        </is>
      </c>
      <c r="K65" s="30" t="inlineStr">
        <is>
          <t>P1</t>
        </is>
      </c>
      <c r="L65" s="30" t="inlineStr">
        <is>
          <t>High</t>
        </is>
      </c>
      <c r="M65" s="30" t="inlineStr">
        <is>
          <t>YES</t>
        </is>
      </c>
      <c r="N65" s="30" t="inlineStr">
        <is>
          <t>NOT STARTED</t>
        </is>
      </c>
      <c r="O65" s="30" t="str"/>
      <c r="P65" s="30" t="str"/>
      <c r="Q65" s="30" t="str"/>
      <c r="R65" s="30" t="inlineStr">
        <is>
          <t>NOT TESTED</t>
        </is>
      </c>
      <c r="S65" s="30" t="str"/>
      <c r="T65" s="31" t="inlineStr">
        <is>
          <t>Before MVP</t>
        </is>
      </c>
    </row>
    <row r="66">
      <c r="A66" s="29" t="inlineStr">
        <is>
          <t>P014</t>
        </is>
      </c>
      <c r="B66" s="30" t="inlineStr">
        <is>
          <t>PC/Web</t>
        </is>
      </c>
      <c r="C66" s="30" t="inlineStr">
        <is>
          <t>11-PC</t>
        </is>
      </c>
      <c r="D66" s="30" t="inlineStr">
        <is>
          <t>Filesystem</t>
        </is>
      </c>
      <c r="E66" s="30" t="inlineStr">
        <is>
          <t>Read-only destination</t>
        </is>
      </c>
      <c r="F66" s="30" t="inlineStr">
        <is>
          <t>Export to non-writable folder</t>
        </is>
      </c>
      <c r="G66" s="30" t="inlineStr">
        <is>
          <t>Attempt export</t>
        </is>
      </c>
      <c r="H66" s="30" t="inlineStr">
        <is>
          <t>Clear error; no crash/partial file</t>
        </is>
      </c>
      <c r="I66" s="30" t="inlineStr">
        <is>
          <t>Windows ACL</t>
        </is>
      </c>
      <c r="J66" s="30" t="inlineStr">
        <is>
          <t>Manual</t>
        </is>
      </c>
      <c r="K66" s="30" t="inlineStr">
        <is>
          <t>P1</t>
        </is>
      </c>
      <c r="L66" s="30" t="inlineStr">
        <is>
          <t>High</t>
        </is>
      </c>
      <c r="M66" s="30" t="inlineStr">
        <is>
          <t>YES</t>
        </is>
      </c>
      <c r="N66" s="30" t="inlineStr">
        <is>
          <t>NOT STARTED</t>
        </is>
      </c>
      <c r="O66" s="30" t="str"/>
      <c r="P66" s="30" t="str"/>
      <c r="Q66" s="30" t="str"/>
      <c r="R66" s="30" t="inlineStr">
        <is>
          <t>NOT TESTED</t>
        </is>
      </c>
      <c r="S66" s="30" t="str"/>
      <c r="T66" s="31" t="inlineStr">
        <is>
          <t>Before MVP</t>
        </is>
      </c>
    </row>
    <row r="67">
      <c r="A67" s="29" t="inlineStr">
        <is>
          <t>P015</t>
        </is>
      </c>
      <c r="B67" s="30" t="inlineStr">
        <is>
          <t>PC/Web</t>
        </is>
      </c>
      <c r="C67" s="30" t="inlineStr">
        <is>
          <t>11-PC</t>
        </is>
      </c>
      <c r="D67" s="30" t="inlineStr">
        <is>
          <t>Windows environment</t>
        </is>
      </c>
      <c r="E67" s="30" t="inlineStr">
        <is>
          <t>Standard user</t>
        </is>
      </c>
      <c r="F67" s="30" t="inlineStr">
        <is>
          <t>Run without administrator</t>
        </is>
      </c>
      <c r="G67" s="30" t="inlineStr">
        <is>
          <t>Install/run normal flows</t>
        </is>
      </c>
      <c r="H67" s="30" t="inlineStr">
        <is>
          <t>No elevation dependency unless documented</t>
        </is>
      </c>
      <c r="I67" s="30" t="inlineStr">
        <is>
          <t>Windows account</t>
        </is>
      </c>
      <c r="J67" s="30" t="inlineStr">
        <is>
          <t>Manual</t>
        </is>
      </c>
      <c r="K67" s="30" t="inlineStr">
        <is>
          <t>P0</t>
        </is>
      </c>
      <c r="L67" s="30" t="inlineStr">
        <is>
          <t>Critical</t>
        </is>
      </c>
      <c r="M67" s="30" t="inlineStr">
        <is>
          <t>YES</t>
        </is>
      </c>
      <c r="N67" s="30" t="inlineStr">
        <is>
          <t>NOT STARTED</t>
        </is>
      </c>
      <c r="O67" s="30" t="str"/>
      <c r="P67" s="30" t="str"/>
      <c r="Q67" s="30" t="str"/>
      <c r="R67" s="30" t="inlineStr">
        <is>
          <t>NOT TESTED</t>
        </is>
      </c>
      <c r="S67" s="30" t="str"/>
      <c r="T67" s="31" t="inlineStr">
        <is>
          <t>Every release</t>
        </is>
      </c>
    </row>
    <row r="68">
      <c r="A68" s="29" t="inlineStr">
        <is>
          <t>P016</t>
        </is>
      </c>
      <c r="B68" s="30" t="inlineStr">
        <is>
          <t>PC/Web</t>
        </is>
      </c>
      <c r="C68" s="30" t="inlineStr">
        <is>
          <t>11-PC</t>
        </is>
      </c>
      <c r="D68" s="30" t="inlineStr">
        <is>
          <t>Windows environment</t>
        </is>
      </c>
      <c r="E68" s="30" t="inlineStr">
        <is>
          <t>Firewall blocked</t>
        </is>
      </c>
      <c r="F68" s="30" t="inlineStr">
        <is>
          <t>Block outbound app traffic</t>
        </is>
      </c>
      <c r="G68" s="30" t="inlineStr">
        <is>
          <t>Run online features</t>
        </is>
      </c>
      <c r="H68" s="30" t="inlineStr">
        <is>
          <t>Offline/error UX works; no freeze</t>
        </is>
      </c>
      <c r="I68" s="30" t="inlineStr">
        <is>
          <t>Windows Firewall</t>
        </is>
      </c>
      <c r="J68" s="30" t="inlineStr">
        <is>
          <t>Manual</t>
        </is>
      </c>
      <c r="K68" s="30" t="inlineStr">
        <is>
          <t>P1</t>
        </is>
      </c>
      <c r="L68" s="30" t="inlineStr">
        <is>
          <t>High</t>
        </is>
      </c>
      <c r="M68" s="30" t="inlineStr">
        <is>
          <t>YES</t>
        </is>
      </c>
      <c r="N68" s="30" t="inlineStr">
        <is>
          <t>NOT STARTED</t>
        </is>
      </c>
      <c r="O68" s="30" t="str"/>
      <c r="P68" s="30" t="str"/>
      <c r="Q68" s="30" t="str"/>
      <c r="R68" s="30" t="inlineStr">
        <is>
          <t>NOT TESTED</t>
        </is>
      </c>
      <c r="S68" s="30" t="str"/>
      <c r="T68" s="31" t="inlineStr">
        <is>
          <t>Before MVP</t>
        </is>
      </c>
    </row>
    <row r="69">
      <c r="A69" s="29" t="inlineStr">
        <is>
          <t>P017</t>
        </is>
      </c>
      <c r="B69" s="30" t="inlineStr">
        <is>
          <t>PC/Web</t>
        </is>
      </c>
      <c r="C69" s="30" t="inlineStr">
        <is>
          <t>11-PC</t>
        </is>
      </c>
      <c r="D69" s="30" t="inlineStr">
        <is>
          <t>Windows environment</t>
        </is>
      </c>
      <c r="E69" s="30" t="inlineStr">
        <is>
          <t>Defender</t>
        </is>
      </c>
      <c r="F69" s="30" t="inlineStr">
        <is>
          <t>Default Windows Defender</t>
        </is>
      </c>
      <c r="G69" s="30" t="inlineStr">
        <is>
          <t>Install/run/scan artifact</t>
        </is>
      </c>
      <c r="H69" s="30" t="inlineStr">
        <is>
          <t>No unexplained block; false positives investigated</t>
        </is>
      </c>
      <c r="I69" s="30" t="inlineStr">
        <is>
          <t>Windows Defender</t>
        </is>
      </c>
      <c r="J69" s="30" t="inlineStr">
        <is>
          <t>Manual</t>
        </is>
      </c>
      <c r="K69" s="30" t="inlineStr">
        <is>
          <t>P1</t>
        </is>
      </c>
      <c r="L69" s="30" t="inlineStr">
        <is>
          <t>High</t>
        </is>
      </c>
      <c r="M69" s="30" t="inlineStr">
        <is>
          <t>YES</t>
        </is>
      </c>
      <c r="N69" s="30" t="inlineStr">
        <is>
          <t>NOT STARTED</t>
        </is>
      </c>
      <c r="O69" s="30" t="str"/>
      <c r="P69" s="30" t="str"/>
      <c r="Q69" s="30" t="str"/>
      <c r="R69" s="30" t="inlineStr">
        <is>
          <t>NOT TESTED</t>
        </is>
      </c>
      <c r="S69" s="30" t="str"/>
      <c r="T69" s="31" t="inlineStr">
        <is>
          <t>Before MVP</t>
        </is>
      </c>
    </row>
    <row r="70">
      <c r="A70" s="29" t="inlineStr">
        <is>
          <t>P018</t>
        </is>
      </c>
      <c r="B70" s="30" t="inlineStr">
        <is>
          <t>PC/Web</t>
        </is>
      </c>
      <c r="C70" s="30" t="inlineStr">
        <is>
          <t>11-PC</t>
        </is>
      </c>
      <c r="D70" s="30" t="inlineStr">
        <is>
          <t>Power/session</t>
        </is>
      </c>
      <c r="E70" s="30" t="inlineStr">
        <is>
          <t>Sleep/wake</t>
        </is>
      </c>
      <c r="F70" s="30" t="inlineStr">
        <is>
          <t>Sleep during idle and active screen</t>
        </is>
      </c>
      <c r="G70" s="30" t="inlineStr">
        <is>
          <t>Resume after sleep</t>
        </is>
      </c>
      <c r="H70" s="30" t="inlineStr">
        <is>
          <t>State/session consistent</t>
        </is>
      </c>
      <c r="I70" s="30" t="inlineStr">
        <is>
          <t>Manual</t>
        </is>
      </c>
      <c r="J70" s="30" t="inlineStr">
        <is>
          <t>Manual</t>
        </is>
      </c>
      <c r="K70" s="30" t="inlineStr">
        <is>
          <t>P2</t>
        </is>
      </c>
      <c r="L70" s="30" t="inlineStr">
        <is>
          <t>Medium</t>
        </is>
      </c>
      <c r="M70" s="30" t="inlineStr">
        <is>
          <t>NO</t>
        </is>
      </c>
      <c r="N70" s="30" t="inlineStr">
        <is>
          <t>NOT STARTED</t>
        </is>
      </c>
      <c r="O70" s="30" t="str"/>
      <c r="P70" s="30" t="str"/>
      <c r="Q70" s="30" t="str"/>
      <c r="R70" s="30" t="inlineStr">
        <is>
          <t>NOT TESTED</t>
        </is>
      </c>
      <c r="S70" s="30" t="str"/>
      <c r="T70" s="31" t="inlineStr">
        <is>
          <t>Before MVP</t>
        </is>
      </c>
    </row>
    <row r="71">
      <c r="A71" s="29" t="inlineStr">
        <is>
          <t>P019</t>
        </is>
      </c>
      <c r="B71" s="30" t="inlineStr">
        <is>
          <t>PC/Web</t>
        </is>
      </c>
      <c r="C71" s="30" t="inlineStr">
        <is>
          <t>11-PC</t>
        </is>
      </c>
      <c r="D71" s="30" t="inlineStr">
        <is>
          <t>Power/session</t>
        </is>
      </c>
      <c r="E71" s="30" t="inlineStr">
        <is>
          <t>Adapter reset</t>
        </is>
      </c>
      <c r="F71" s="30" t="inlineStr">
        <is>
          <t>Disable/enable network adapter mid-request</t>
        </is>
      </c>
      <c r="G71" s="30" t="inlineStr">
        <is>
          <t>Retry/reopen</t>
        </is>
      </c>
      <c r="H71" s="30" t="inlineStr">
        <is>
          <t>Request fails/retries safely</t>
        </is>
      </c>
      <c r="I71" s="30" t="inlineStr">
        <is>
          <t>Manual</t>
        </is>
      </c>
      <c r="J71" s="30" t="inlineStr">
        <is>
          <t>Manual</t>
        </is>
      </c>
      <c r="K71" s="30" t="inlineStr">
        <is>
          <t>P1</t>
        </is>
      </c>
      <c r="L71" s="30" t="inlineStr">
        <is>
          <t>High</t>
        </is>
      </c>
      <c r="M71" s="30" t="inlineStr">
        <is>
          <t>YES</t>
        </is>
      </c>
      <c r="N71" s="30" t="inlineStr">
        <is>
          <t>NOT STARTED</t>
        </is>
      </c>
      <c r="O71" s="30" t="str"/>
      <c r="P71" s="30" t="str"/>
      <c r="Q71" s="30" t="str"/>
      <c r="R71" s="30" t="inlineStr">
        <is>
          <t>NOT TESTED</t>
        </is>
      </c>
      <c r="S71" s="30" t="str"/>
      <c r="T71" s="31" t="inlineStr">
        <is>
          <t>Before MVP</t>
        </is>
      </c>
    </row>
    <row r="72">
      <c r="A72" s="29" t="inlineStr">
        <is>
          <t>P020</t>
        </is>
      </c>
      <c r="B72" s="30" t="inlineStr">
        <is>
          <t>PC/Web</t>
        </is>
      </c>
      <c r="C72" s="30" t="inlineStr">
        <is>
          <t>11-PC</t>
        </is>
      </c>
      <c r="D72" s="30" t="inlineStr">
        <is>
          <t>Browser storage</t>
        </is>
      </c>
      <c r="E72" s="30" t="inlineStr">
        <is>
          <t>Cache/storage reset</t>
        </is>
      </c>
      <c r="F72" s="30" t="inlineStr">
        <is>
          <t>Clear cache or site data per scenario</t>
        </is>
      </c>
      <c r="G72" s="30" t="inlineStr">
        <is>
          <t>Relaunch</t>
        </is>
      </c>
      <c r="H72" s="30" t="inlineStr">
        <is>
          <t>Behavior matches persistence design</t>
        </is>
      </c>
      <c r="I72" s="30" t="inlineStr">
        <is>
          <t>DevTools</t>
        </is>
      </c>
      <c r="J72" s="30" t="inlineStr">
        <is>
          <t>Manual</t>
        </is>
      </c>
      <c r="K72" s="30" t="inlineStr">
        <is>
          <t>P2</t>
        </is>
      </c>
      <c r="L72" s="30" t="inlineStr">
        <is>
          <t>Medium</t>
        </is>
      </c>
      <c r="M72" s="30" t="inlineStr">
        <is>
          <t>NO</t>
        </is>
      </c>
      <c r="N72" s="30" t="inlineStr">
        <is>
          <t>NOT STARTED</t>
        </is>
      </c>
      <c r="O72" s="30" t="str"/>
      <c r="P72" s="30" t="str"/>
      <c r="Q72" s="30" t="str"/>
      <c r="R72" s="30" t="inlineStr">
        <is>
          <t>NOT TESTED</t>
        </is>
      </c>
      <c r="S72" s="30" t="str"/>
      <c r="T72" s="31" t="inlineStr">
        <is>
          <t>Before MVP</t>
        </is>
      </c>
    </row>
    <row r="73">
      <c r="A73" s="29" t="inlineStr">
        <is>
          <t>A001</t>
        </is>
      </c>
      <c r="B73" s="30" t="inlineStr">
        <is>
          <t>Android</t>
        </is>
      </c>
      <c r="C73" s="30" t="inlineStr">
        <is>
          <t>12-Android</t>
        </is>
      </c>
      <c r="D73" s="30" t="inlineStr">
        <is>
          <t>Install/upgrade</t>
        </is>
      </c>
      <c r="E73" s="30" t="inlineStr">
        <is>
          <t>Fresh install</t>
        </is>
      </c>
      <c r="F73" s="30" t="inlineStr">
        <is>
          <t>Install release APK/AAB</t>
        </is>
      </c>
      <c r="G73" s="30" t="inlineStr">
        <is>
          <t>Install on clean device; first launch</t>
        </is>
      </c>
      <c r="H73" s="30" t="inlineStr">
        <is>
          <t>Install/launch succeeds; default state valid</t>
        </is>
      </c>
      <c r="I73" s="30" t="inlineStr">
        <is>
          <t>ADB/internal testing</t>
        </is>
      </c>
      <c r="J73" s="30" t="inlineStr">
        <is>
          <t>Semi-automated</t>
        </is>
      </c>
      <c r="K73" s="30" t="inlineStr">
        <is>
          <t>P0</t>
        </is>
      </c>
      <c r="L73" s="30" t="inlineStr">
        <is>
          <t>Critical</t>
        </is>
      </c>
      <c r="M73" s="30" t="inlineStr">
        <is>
          <t>YES</t>
        </is>
      </c>
      <c r="N73" s="30" t="inlineStr">
        <is>
          <t>N/A</t>
        </is>
      </c>
      <c r="O73" s="30" t="str"/>
      <c r="P73" s="30" t="inlineStr">
        <is>
          <t>Out of MVP scope per user decision 2026-09-24: MVP is Windows desktop offline app only (no Android/AI). See work/AUDIT_STATE.json scope_decision.</t>
        </is>
      </c>
      <c r="Q73" s="30" t="str"/>
      <c r="R73" s="30" t="inlineStr">
        <is>
          <t>N/A</t>
        </is>
      </c>
      <c r="S73" s="30" t="str"/>
      <c r="T73" s="31" t="inlineStr">
        <is>
          <t>Every release</t>
        </is>
      </c>
    </row>
    <row r="74">
      <c r="A74" s="29" t="inlineStr">
        <is>
          <t>A002</t>
        </is>
      </c>
      <c r="B74" s="30" t="inlineStr">
        <is>
          <t>Android</t>
        </is>
      </c>
      <c r="C74" s="30" t="inlineStr">
        <is>
          <t>12-Android</t>
        </is>
      </c>
      <c r="D74" s="30" t="inlineStr">
        <is>
          <t>Install/upgrade</t>
        </is>
      </c>
      <c r="E74" s="30" t="inlineStr">
        <is>
          <t>Upgrade</t>
        </is>
      </c>
      <c r="F74" s="30" t="inlineStr">
        <is>
          <t>Upgrade from previous build</t>
        </is>
      </c>
      <c r="G74" s="30" t="inlineStr">
        <is>
          <t>Create data on old build; install new build</t>
        </is>
      </c>
      <c r="H74" s="30" t="inlineStr">
        <is>
          <t>App launches; user data/settings preserved</t>
        </is>
      </c>
      <c r="I74" s="30" t="inlineStr">
        <is>
          <t>ADB/internal testing</t>
        </is>
      </c>
      <c r="J74" s="30" t="inlineStr">
        <is>
          <t>Semi-automated</t>
        </is>
      </c>
      <c r="K74" s="30" t="inlineStr">
        <is>
          <t>P0</t>
        </is>
      </c>
      <c r="L74" s="30" t="inlineStr">
        <is>
          <t>Critical</t>
        </is>
      </c>
      <c r="M74" s="30" t="inlineStr">
        <is>
          <t>YES</t>
        </is>
      </c>
      <c r="N74" s="30" t="inlineStr">
        <is>
          <t>N/A</t>
        </is>
      </c>
      <c r="O74" s="30" t="str"/>
      <c r="P74" s="30" t="inlineStr">
        <is>
          <t>Out of MVP scope per user decision 2026-09-24: MVP is Windows desktop offline app only (no Android/AI). See work/AUDIT_STATE.json scope_decision.</t>
        </is>
      </c>
      <c r="Q74" s="30" t="str"/>
      <c r="R74" s="30" t="inlineStr">
        <is>
          <t>N/A</t>
        </is>
      </c>
      <c r="S74" s="30" t="str"/>
      <c r="T74" s="31" t="inlineStr">
        <is>
          <t>Every release</t>
        </is>
      </c>
    </row>
    <row r="75">
      <c r="A75" s="29" t="inlineStr">
        <is>
          <t>A003</t>
        </is>
      </c>
      <c r="B75" s="30" t="inlineStr">
        <is>
          <t>Android</t>
        </is>
      </c>
      <c r="C75" s="30" t="inlineStr">
        <is>
          <t>12-Android</t>
        </is>
      </c>
      <c r="D75" s="30" t="inlineStr">
        <is>
          <t>Install/upgrade</t>
        </is>
      </c>
      <c r="E75" s="30" t="inlineStr">
        <is>
          <t>Clear cache</t>
        </is>
      </c>
      <c r="F75" s="30" t="inlineStr">
        <is>
          <t>Clear cache only</t>
        </is>
      </c>
      <c r="G75" s="30" t="inlineStr">
        <is>
          <t>Relaunch</t>
        </is>
      </c>
      <c r="H75" s="30" t="inlineStr">
        <is>
          <t>Persistent data remains as designed</t>
        </is>
      </c>
      <c r="I75" s="30" t="inlineStr">
        <is>
          <t>Settings/ADB</t>
        </is>
      </c>
      <c r="J75" s="30" t="inlineStr">
        <is>
          <t>Manual</t>
        </is>
      </c>
      <c r="K75" s="30" t="inlineStr">
        <is>
          <t>P1</t>
        </is>
      </c>
      <c r="L75" s="30" t="inlineStr">
        <is>
          <t>High</t>
        </is>
      </c>
      <c r="M75" s="30" t="inlineStr">
        <is>
          <t>YES</t>
        </is>
      </c>
      <c r="N75" s="30" t="inlineStr">
        <is>
          <t>N/A</t>
        </is>
      </c>
      <c r="O75" s="30" t="str"/>
      <c r="P75" s="30" t="inlineStr">
        <is>
          <t>Out of MVP scope per user decision 2026-09-24: MVP is Windows desktop offline app only (no Android/AI). See work/AUDIT_STATE.json scope_decision.</t>
        </is>
      </c>
      <c r="Q75" s="30" t="str"/>
      <c r="R75" s="30" t="inlineStr">
        <is>
          <t>N/A</t>
        </is>
      </c>
      <c r="S75" s="30" t="str"/>
      <c r="T75" s="31" t="inlineStr">
        <is>
          <t>Every release</t>
        </is>
      </c>
    </row>
    <row r="76">
      <c r="A76" s="29" t="inlineStr">
        <is>
          <t>A004</t>
        </is>
      </c>
      <c r="B76" s="30" t="inlineStr">
        <is>
          <t>Android</t>
        </is>
      </c>
      <c r="C76" s="30" t="inlineStr">
        <is>
          <t>12-Android</t>
        </is>
      </c>
      <c r="D76" s="30" t="inlineStr">
        <is>
          <t>Install/upgrade</t>
        </is>
      </c>
      <c r="E76" s="30" t="inlineStr">
        <is>
          <t>Clear app data</t>
        </is>
      </c>
      <c r="F76" s="30" t="inlineStr">
        <is>
          <t>Clear all app data</t>
        </is>
      </c>
      <c r="G76" s="30" t="inlineStr">
        <is>
          <t>Launch clean</t>
        </is>
      </c>
      <c r="H76" s="30" t="inlineStr">
        <is>
          <t>Valid onboarding/defaults; no broken remote state</t>
        </is>
      </c>
      <c r="I76" s="30" t="inlineStr">
        <is>
          <t>Settings/ADB</t>
        </is>
      </c>
      <c r="J76" s="30" t="inlineStr">
        <is>
          <t>Manual</t>
        </is>
      </c>
      <c r="K76" s="30" t="inlineStr">
        <is>
          <t>P2</t>
        </is>
      </c>
      <c r="L76" s="30" t="inlineStr">
        <is>
          <t>Medium</t>
        </is>
      </c>
      <c r="M76" s="30" t="inlineStr">
        <is>
          <t>NO</t>
        </is>
      </c>
      <c r="N76" s="30" t="inlineStr">
        <is>
          <t>N/A</t>
        </is>
      </c>
      <c r="O76" s="30" t="str"/>
      <c r="P76" s="30" t="inlineStr">
        <is>
          <t>Out of MVP scope per user decision 2026-09-24: MVP is Windows desktop offline app only (no Android/AI). See work/AUDIT_STATE.json scope_decision.</t>
        </is>
      </c>
      <c r="Q76" s="30" t="str"/>
      <c r="R76" s="30" t="inlineStr">
        <is>
          <t>N/A</t>
        </is>
      </c>
      <c r="S76" s="30" t="str"/>
      <c r="T76" s="31" t="inlineStr">
        <is>
          <t>Before MVP</t>
        </is>
      </c>
    </row>
    <row r="77">
      <c r="A77" s="29" t="inlineStr">
        <is>
          <t>A005</t>
        </is>
      </c>
      <c r="B77" s="30" t="inlineStr">
        <is>
          <t>Android</t>
        </is>
      </c>
      <c r="C77" s="30" t="inlineStr">
        <is>
          <t>12-Android</t>
        </is>
      </c>
      <c r="D77" s="30" t="inlineStr">
        <is>
          <t>Lifecycle</t>
        </is>
      </c>
      <c r="E77" s="30" t="inlineStr">
        <is>
          <t>Background/foreground</t>
        </is>
      </c>
      <c r="F77" s="30" t="inlineStr">
        <is>
          <t>Home and return</t>
        </is>
      </c>
      <c r="G77" s="30" t="inlineStr">
        <is>
          <t>Start core task; Home; return</t>
        </is>
      </c>
      <c r="H77" s="30" t="inlineStr">
        <is>
          <t>State restored; no duplicate action/crash</t>
        </is>
      </c>
      <c r="I77" s="30" t="inlineStr">
        <is>
          <t>ADB/manual</t>
        </is>
      </c>
      <c r="J77" s="30" t="inlineStr">
        <is>
          <t>Manual</t>
        </is>
      </c>
      <c r="K77" s="30" t="inlineStr">
        <is>
          <t>P0</t>
        </is>
      </c>
      <c r="L77" s="30" t="inlineStr">
        <is>
          <t>Critical</t>
        </is>
      </c>
      <c r="M77" s="30" t="inlineStr">
        <is>
          <t>YES</t>
        </is>
      </c>
      <c r="N77" s="30" t="inlineStr">
        <is>
          <t>N/A</t>
        </is>
      </c>
      <c r="O77" s="30" t="str"/>
      <c r="P77" s="30" t="inlineStr">
        <is>
          <t>Out of MVP scope per user decision 2026-09-24: MVP is Windows desktop offline app only (no Android/AI). See work/AUDIT_STATE.json scope_decision.</t>
        </is>
      </c>
      <c r="Q77" s="30" t="str"/>
      <c r="R77" s="30" t="inlineStr">
        <is>
          <t>N/A</t>
        </is>
      </c>
      <c r="S77" s="30" t="str"/>
      <c r="T77" s="31" t="inlineStr">
        <is>
          <t>Every release</t>
        </is>
      </c>
    </row>
    <row r="78">
      <c r="A78" s="29" t="inlineStr">
        <is>
          <t>A006</t>
        </is>
      </c>
      <c r="B78" s="30" t="inlineStr">
        <is>
          <t>Android</t>
        </is>
      </c>
      <c r="C78" s="30" t="inlineStr">
        <is>
          <t>12-Android</t>
        </is>
      </c>
      <c r="D78" s="30" t="inlineStr">
        <is>
          <t>Lifecycle</t>
        </is>
      </c>
      <c r="E78" s="30" t="inlineStr">
        <is>
          <t>Lock/unlock</t>
        </is>
      </c>
      <c r="F78" s="30" t="inlineStr">
        <is>
          <t>Lock on form/result</t>
        </is>
      </c>
      <c r="G78" s="30" t="inlineStr">
        <is>
          <t>Unlock</t>
        </is>
      </c>
      <c r="H78" s="30" t="inlineStr">
        <is>
          <t>State valid; privacy behavior appropriate</t>
        </is>
      </c>
      <c r="I78" s="30" t="inlineStr">
        <is>
          <t>Manual</t>
        </is>
      </c>
      <c r="J78" s="30" t="inlineStr">
        <is>
          <t>Manual</t>
        </is>
      </c>
      <c r="K78" s="30" t="inlineStr">
        <is>
          <t>P1</t>
        </is>
      </c>
      <c r="L78" s="30" t="inlineStr">
        <is>
          <t>High</t>
        </is>
      </c>
      <c r="M78" s="30" t="inlineStr">
        <is>
          <t>YES</t>
        </is>
      </c>
      <c r="N78" s="30" t="inlineStr">
        <is>
          <t>N/A</t>
        </is>
      </c>
      <c r="O78" s="30" t="str"/>
      <c r="P78" s="30" t="inlineStr">
        <is>
          <t>Out of MVP scope per user decision 2026-09-24: MVP is Windows desktop offline app only (no Android/AI). See work/AUDIT_STATE.json scope_decision.</t>
        </is>
      </c>
      <c r="Q78" s="30" t="str"/>
      <c r="R78" s="30" t="inlineStr">
        <is>
          <t>N/A</t>
        </is>
      </c>
      <c r="S78" s="30" t="str"/>
      <c r="T78" s="31" t="inlineStr">
        <is>
          <t>Every release</t>
        </is>
      </c>
    </row>
    <row r="79">
      <c r="A79" s="29" t="inlineStr">
        <is>
          <t>A007</t>
        </is>
      </c>
      <c r="B79" s="30" t="inlineStr">
        <is>
          <t>Android</t>
        </is>
      </c>
      <c r="C79" s="30" t="inlineStr">
        <is>
          <t>12-Android</t>
        </is>
      </c>
      <c r="D79" s="30" t="inlineStr">
        <is>
          <t>Lifecycle</t>
        </is>
      </c>
      <c r="E79" s="30" t="inlineStr">
        <is>
          <t>Rotation</t>
        </is>
      </c>
      <c r="F79" s="30" t="inlineStr">
        <is>
          <t>Rotate critical screens</t>
        </is>
      </c>
      <c r="G79" s="30" t="inlineStr">
        <is>
          <t>Portrait↔landscape</t>
        </is>
      </c>
      <c r="H79" s="30" t="inlineStr">
        <is>
          <t>No crash/data loss/layout overlap</t>
        </is>
      </c>
      <c r="I79" s="30" t="inlineStr">
        <is>
          <t>Emulator/device</t>
        </is>
      </c>
      <c r="J79" s="30" t="inlineStr">
        <is>
          <t>Manual</t>
        </is>
      </c>
      <c r="K79" s="30" t="inlineStr">
        <is>
          <t>P1</t>
        </is>
      </c>
      <c r="L79" s="30" t="inlineStr">
        <is>
          <t>High</t>
        </is>
      </c>
      <c r="M79" s="30" t="inlineStr">
        <is>
          <t>YES</t>
        </is>
      </c>
      <c r="N79" s="30" t="inlineStr">
        <is>
          <t>N/A</t>
        </is>
      </c>
      <c r="O79" s="30" t="str"/>
      <c r="P79" s="30" t="inlineStr">
        <is>
          <t>Out of MVP scope per user decision 2026-09-24: MVP is Windows desktop offline app only (no Android/AI). See work/AUDIT_STATE.json scope_decision.</t>
        </is>
      </c>
      <c r="Q79" s="30" t="str"/>
      <c r="R79" s="30" t="inlineStr">
        <is>
          <t>N/A</t>
        </is>
      </c>
      <c r="S79" s="30" t="str"/>
      <c r="T79" s="31" t="inlineStr">
        <is>
          <t>Every release</t>
        </is>
      </c>
    </row>
    <row r="80">
      <c r="A80" s="29" t="inlineStr">
        <is>
          <t>A008</t>
        </is>
      </c>
      <c r="B80" s="30" t="inlineStr">
        <is>
          <t>Android</t>
        </is>
      </c>
      <c r="C80" s="30" t="inlineStr">
        <is>
          <t>12-Android</t>
        </is>
      </c>
      <c r="D80" s="30" t="inlineStr">
        <is>
          <t>Lifecycle</t>
        </is>
      </c>
      <c r="E80" s="30" t="inlineStr">
        <is>
          <t>Process death</t>
        </is>
      </c>
      <c r="F80" s="30" t="inlineStr">
        <is>
          <t>OS/process kills activity</t>
        </is>
      </c>
      <c r="G80" s="30" t="inlineStr">
        <is>
          <t>Use Don't keep activities or kill background process</t>
        </is>
      </c>
      <c r="H80" s="30" t="inlineStr">
        <is>
          <t>App restores or safely returns to consistent state</t>
        </is>
      </c>
      <c r="I80" s="30" t="inlineStr">
        <is>
          <t>Developer options/ADB</t>
        </is>
      </c>
      <c r="J80" s="30" t="inlineStr">
        <is>
          <t>Manual</t>
        </is>
      </c>
      <c r="K80" s="30" t="inlineStr">
        <is>
          <t>P0</t>
        </is>
      </c>
      <c r="L80" s="30" t="inlineStr">
        <is>
          <t>Critical</t>
        </is>
      </c>
      <c r="M80" s="30" t="inlineStr">
        <is>
          <t>YES</t>
        </is>
      </c>
      <c r="N80" s="30" t="inlineStr">
        <is>
          <t>N/A</t>
        </is>
      </c>
      <c r="O80" s="30" t="str"/>
      <c r="P80" s="30" t="inlineStr">
        <is>
          <t>Out of MVP scope per user decision 2026-09-24: MVP is Windows desktop offline app only (no Android/AI). See work/AUDIT_STATE.json scope_decision.</t>
        </is>
      </c>
      <c r="Q80" s="30" t="str"/>
      <c r="R80" s="30" t="inlineStr">
        <is>
          <t>N/A</t>
        </is>
      </c>
      <c r="S80" s="30" t="str"/>
      <c r="T80" s="31" t="inlineStr">
        <is>
          <t>Every release</t>
        </is>
      </c>
    </row>
    <row r="81">
      <c r="A81" s="29" t="inlineStr">
        <is>
          <t>A009</t>
        </is>
      </c>
      <c r="B81" s="30" t="inlineStr">
        <is>
          <t>Android</t>
        </is>
      </c>
      <c r="C81" s="30" t="inlineStr">
        <is>
          <t>12-Android</t>
        </is>
      </c>
      <c r="D81" s="30" t="inlineStr">
        <is>
          <t>Lifecycle</t>
        </is>
      </c>
      <c r="E81" s="30" t="inlineStr">
        <is>
          <t>Kill during save</t>
        </is>
      </c>
      <c r="F81" s="30" t="inlineStr">
        <is>
          <t>Force-stop at save boundary</t>
        </is>
      </c>
      <c r="G81" s="30" t="inlineStr">
        <is>
          <t>Reopen</t>
        </is>
      </c>
      <c r="H81" s="30" t="inlineStr">
        <is>
          <t>No corrupted storage; deterministic state</t>
        </is>
      </c>
      <c r="I81" s="30" t="inlineStr">
        <is>
          <t>ADB</t>
        </is>
      </c>
      <c r="J81" s="30" t="inlineStr">
        <is>
          <t>Manual</t>
        </is>
      </c>
      <c r="K81" s="30" t="inlineStr">
        <is>
          <t>P0</t>
        </is>
      </c>
      <c r="L81" s="30" t="inlineStr">
        <is>
          <t>Critical</t>
        </is>
      </c>
      <c r="M81" s="30" t="inlineStr">
        <is>
          <t>YES</t>
        </is>
      </c>
      <c r="N81" s="30" t="inlineStr">
        <is>
          <t>N/A</t>
        </is>
      </c>
      <c r="O81" s="30" t="str"/>
      <c r="P81" s="30" t="inlineStr">
        <is>
          <t>Out of MVP scope per user decision 2026-09-24: MVP is Windows desktop offline app only (no Android/AI). See work/AUDIT_STATE.json scope_decision.</t>
        </is>
      </c>
      <c r="Q81" s="30" t="str"/>
      <c r="R81" s="30" t="inlineStr">
        <is>
          <t>N/A</t>
        </is>
      </c>
      <c r="S81" s="30" t="str"/>
      <c r="T81" s="31" t="inlineStr">
        <is>
          <t>Every release</t>
        </is>
      </c>
    </row>
    <row r="82">
      <c r="A82" s="29" t="inlineStr">
        <is>
          <t>A010</t>
        </is>
      </c>
      <c r="B82" s="30" t="inlineStr">
        <is>
          <t>Android</t>
        </is>
      </c>
      <c r="C82" s="30" t="inlineStr">
        <is>
          <t>12-Android</t>
        </is>
      </c>
      <c r="D82" s="30" t="inlineStr">
        <is>
          <t>Permissions</t>
        </is>
      </c>
      <c r="E82" s="30" t="inlineStr">
        <is>
          <t>Allow</t>
        </is>
      </c>
      <c r="F82" s="30" t="inlineStr">
        <is>
          <t>Grant each runtime permission</t>
        </is>
      </c>
      <c r="G82" s="30" t="inlineStr">
        <is>
          <t>Use dependent feature</t>
        </is>
      </c>
      <c r="H82" s="30" t="inlineStr">
        <is>
          <t>Feature works; no bad prompt loop</t>
        </is>
      </c>
      <c r="I82" s="30" t="inlineStr">
        <is>
          <t>Device/settings</t>
        </is>
      </c>
      <c r="J82" s="30" t="inlineStr">
        <is>
          <t>Manual</t>
        </is>
      </c>
      <c r="K82" s="30" t="inlineStr">
        <is>
          <t>P1</t>
        </is>
      </c>
      <c r="L82" s="30" t="inlineStr">
        <is>
          <t>High</t>
        </is>
      </c>
      <c r="M82" s="30" t="inlineStr">
        <is>
          <t>YES</t>
        </is>
      </c>
      <c r="N82" s="30" t="inlineStr">
        <is>
          <t>N/A</t>
        </is>
      </c>
      <c r="O82" s="30" t="str"/>
      <c r="P82" s="30" t="inlineStr">
        <is>
          <t>Out of MVP scope per user decision 2026-09-24: MVP is Windows desktop offline app only (no Android/AI). See work/AUDIT_STATE.json scope_decision.</t>
        </is>
      </c>
      <c r="Q82" s="30" t="str"/>
      <c r="R82" s="30" t="inlineStr">
        <is>
          <t>N/A</t>
        </is>
      </c>
      <c r="S82" s="30" t="str"/>
      <c r="T82" s="31" t="inlineStr">
        <is>
          <t>Every release</t>
        </is>
      </c>
    </row>
    <row r="83">
      <c r="A83" s="29" t="inlineStr">
        <is>
          <t>A011</t>
        </is>
      </c>
      <c r="B83" s="30" t="inlineStr">
        <is>
          <t>Android</t>
        </is>
      </c>
      <c r="C83" s="30" t="inlineStr">
        <is>
          <t>12-Android</t>
        </is>
      </c>
      <c r="D83" s="30" t="inlineStr">
        <is>
          <t>Permissions</t>
        </is>
      </c>
      <c r="E83" s="30" t="inlineStr">
        <is>
          <t>Deny</t>
        </is>
      </c>
      <c r="F83" s="30" t="inlineStr">
        <is>
          <t>Deny each runtime permission</t>
        </is>
      </c>
      <c r="G83" s="30" t="inlineStr">
        <is>
          <t>Try dependent feature</t>
        </is>
      </c>
      <c r="H83" s="30" t="inlineStr">
        <is>
          <t>No crash; clear limited-function UX</t>
        </is>
      </c>
      <c r="I83" s="30" t="inlineStr">
        <is>
          <t>Device/settings</t>
        </is>
      </c>
      <c r="J83" s="30" t="inlineStr">
        <is>
          <t>Manual</t>
        </is>
      </c>
      <c r="K83" s="30" t="inlineStr">
        <is>
          <t>P0</t>
        </is>
      </c>
      <c r="L83" s="30" t="inlineStr">
        <is>
          <t>Critical</t>
        </is>
      </c>
      <c r="M83" s="30" t="inlineStr">
        <is>
          <t>YES</t>
        </is>
      </c>
      <c r="N83" s="30" t="inlineStr">
        <is>
          <t>N/A</t>
        </is>
      </c>
      <c r="O83" s="30" t="str"/>
      <c r="P83" s="30" t="inlineStr">
        <is>
          <t>Out of MVP scope per user decision 2026-09-24: MVP is Windows desktop offline app only (no Android/AI). See work/AUDIT_STATE.json scope_decision.</t>
        </is>
      </c>
      <c r="Q83" s="30" t="str"/>
      <c r="R83" s="30" t="inlineStr">
        <is>
          <t>N/A</t>
        </is>
      </c>
      <c r="S83" s="30" t="str"/>
      <c r="T83" s="31" t="inlineStr">
        <is>
          <t>Every release</t>
        </is>
      </c>
    </row>
    <row r="84">
      <c r="A84" s="29" t="inlineStr">
        <is>
          <t>A012</t>
        </is>
      </c>
      <c r="B84" s="30" t="inlineStr">
        <is>
          <t>Android</t>
        </is>
      </c>
      <c r="C84" s="30" t="inlineStr">
        <is>
          <t>12-Android</t>
        </is>
      </c>
      <c r="D84" s="30" t="inlineStr">
        <is>
          <t>Permissions</t>
        </is>
      </c>
      <c r="E84" s="30" t="inlineStr">
        <is>
          <t>Deny permanently</t>
        </is>
      </c>
      <c r="F84" s="30" t="inlineStr">
        <is>
          <t>Permanent denial</t>
        </is>
      </c>
      <c r="G84" s="30" t="inlineStr">
        <is>
          <t>Retry feature</t>
        </is>
      </c>
      <c r="H84" s="30" t="inlineStr">
        <is>
          <t>App offers Settings path; no infinite prompt</t>
        </is>
      </c>
      <c r="I84" s="30" t="inlineStr">
        <is>
          <t>Device/settings</t>
        </is>
      </c>
      <c r="J84" s="30" t="inlineStr">
        <is>
          <t>Manual</t>
        </is>
      </c>
      <c r="K84" s="30" t="inlineStr">
        <is>
          <t>P1</t>
        </is>
      </c>
      <c r="L84" s="30" t="inlineStr">
        <is>
          <t>High</t>
        </is>
      </c>
      <c r="M84" s="30" t="inlineStr">
        <is>
          <t>YES</t>
        </is>
      </c>
      <c r="N84" s="30" t="inlineStr">
        <is>
          <t>N/A</t>
        </is>
      </c>
      <c r="O84" s="30" t="str"/>
      <c r="P84" s="30" t="inlineStr">
        <is>
          <t>Out of MVP scope per user decision 2026-09-24: MVP is Windows desktop offline app only (no Android/AI). See work/AUDIT_STATE.json scope_decision.</t>
        </is>
      </c>
      <c r="Q84" s="30" t="str"/>
      <c r="R84" s="30" t="inlineStr">
        <is>
          <t>N/A</t>
        </is>
      </c>
      <c r="S84" s="30" t="str"/>
      <c r="T84" s="31" t="inlineStr">
        <is>
          <t>Before MVP</t>
        </is>
      </c>
    </row>
    <row r="85">
      <c r="A85" s="29" t="inlineStr">
        <is>
          <t>A013</t>
        </is>
      </c>
      <c r="B85" s="30" t="inlineStr">
        <is>
          <t>Android</t>
        </is>
      </c>
      <c r="C85" s="30" t="inlineStr">
        <is>
          <t>12-Android</t>
        </is>
      </c>
      <c r="D85" s="30" t="inlineStr">
        <is>
          <t>Permissions</t>
        </is>
      </c>
      <c r="E85" s="30" t="inlineStr">
        <is>
          <t>Revoke later</t>
        </is>
      </c>
      <c r="F85" s="30" t="inlineStr">
        <is>
          <t>Grant then revoke</t>
        </is>
      </c>
      <c r="G85" s="30" t="inlineStr">
        <is>
          <t>Return to feature</t>
        </is>
      </c>
      <c r="H85" s="30" t="inlineStr">
        <is>
          <t>Revocation detected safely</t>
        </is>
      </c>
      <c r="I85" s="30" t="inlineStr">
        <is>
          <t>Device/settings</t>
        </is>
      </c>
      <c r="J85" s="30" t="inlineStr">
        <is>
          <t>Manual</t>
        </is>
      </c>
      <c r="K85" s="30" t="inlineStr">
        <is>
          <t>P1</t>
        </is>
      </c>
      <c r="L85" s="30" t="inlineStr">
        <is>
          <t>High</t>
        </is>
      </c>
      <c r="M85" s="30" t="inlineStr">
        <is>
          <t>YES</t>
        </is>
      </c>
      <c r="N85" s="30" t="inlineStr">
        <is>
          <t>N/A</t>
        </is>
      </c>
      <c r="O85" s="30" t="str"/>
      <c r="P85" s="30" t="inlineStr">
        <is>
          <t>Out of MVP scope per user decision 2026-09-24: MVP is Windows desktop offline app only (no Android/AI). See work/AUDIT_STATE.json scope_decision.</t>
        </is>
      </c>
      <c r="Q85" s="30" t="str"/>
      <c r="R85" s="30" t="inlineStr">
        <is>
          <t>N/A</t>
        </is>
      </c>
      <c r="S85" s="30" t="str"/>
      <c r="T85" s="31" t="inlineStr">
        <is>
          <t>Before MVP</t>
        </is>
      </c>
    </row>
    <row r="86">
      <c r="A86" s="29" t="inlineStr">
        <is>
          <t>A014</t>
        </is>
      </c>
      <c r="B86" s="30" t="inlineStr">
        <is>
          <t>Android</t>
        </is>
      </c>
      <c r="C86" s="30" t="inlineStr">
        <is>
          <t>12-Android</t>
        </is>
      </c>
      <c r="D86" s="30" t="inlineStr">
        <is>
          <t>Layout</t>
        </is>
      </c>
      <c r="E86" s="30" t="inlineStr">
        <is>
          <t>Gesture navigation</t>
        </is>
      </c>
      <c r="F86" s="30" t="inlineStr">
        <is>
          <t>Use gesture nav</t>
        </is>
      </c>
      <c r="G86" s="30" t="inlineStr">
        <is>
          <t>Run all critical screens</t>
        </is>
      </c>
      <c r="H86" s="30" t="inlineStr">
        <is>
          <t>Bottom controls not covered; back gesture sensible</t>
        </is>
      </c>
      <c r="I86" s="30" t="inlineStr">
        <is>
          <t>Physical/emulator</t>
        </is>
      </c>
      <c r="J86" s="30" t="inlineStr">
        <is>
          <t>Manual</t>
        </is>
      </c>
      <c r="K86" s="30" t="inlineStr">
        <is>
          <t>P0</t>
        </is>
      </c>
      <c r="L86" s="30" t="inlineStr">
        <is>
          <t>Critical</t>
        </is>
      </c>
      <c r="M86" s="30" t="inlineStr">
        <is>
          <t>YES</t>
        </is>
      </c>
      <c r="N86" s="30" t="inlineStr">
        <is>
          <t>N/A</t>
        </is>
      </c>
      <c r="O86" s="30" t="str"/>
      <c r="P86" s="30" t="inlineStr">
        <is>
          <t>Out of MVP scope per user decision 2026-09-24: MVP is Windows desktop offline app only (no Android/AI). See work/AUDIT_STATE.json scope_decision.</t>
        </is>
      </c>
      <c r="Q86" s="30" t="str"/>
      <c r="R86" s="30" t="inlineStr">
        <is>
          <t>N/A</t>
        </is>
      </c>
      <c r="S86" s="30" t="str"/>
      <c r="T86" s="31" t="inlineStr">
        <is>
          <t>Every release</t>
        </is>
      </c>
    </row>
    <row r="87">
      <c r="A87" s="29" t="inlineStr">
        <is>
          <t>A015</t>
        </is>
      </c>
      <c r="B87" s="30" t="inlineStr">
        <is>
          <t>Android</t>
        </is>
      </c>
      <c r="C87" s="30" t="inlineStr">
        <is>
          <t>12-Android</t>
        </is>
      </c>
      <c r="D87" s="30" t="inlineStr">
        <is>
          <t>Layout</t>
        </is>
      </c>
      <c r="E87" s="30" t="inlineStr">
        <is>
          <t>3-button navigation</t>
        </is>
      </c>
      <c r="F87" s="30" t="inlineStr">
        <is>
          <t>Use 3-button nav</t>
        </is>
      </c>
      <c r="G87" s="30" t="inlineStr">
        <is>
          <t>Run critical screens</t>
        </is>
      </c>
      <c r="H87" s="30" t="inlineStr">
        <is>
          <t>Bottom controls visible</t>
        </is>
      </c>
      <c r="I87" s="30" t="inlineStr">
        <is>
          <t>Physical/emulator</t>
        </is>
      </c>
      <c r="J87" s="30" t="inlineStr">
        <is>
          <t>Manual</t>
        </is>
      </c>
      <c r="K87" s="30" t="inlineStr">
        <is>
          <t>P1</t>
        </is>
      </c>
      <c r="L87" s="30" t="inlineStr">
        <is>
          <t>High</t>
        </is>
      </c>
      <c r="M87" s="30" t="inlineStr">
        <is>
          <t>YES</t>
        </is>
      </c>
      <c r="N87" s="30" t="inlineStr">
        <is>
          <t>N/A</t>
        </is>
      </c>
      <c r="O87" s="30" t="str"/>
      <c r="P87" s="30" t="inlineStr">
        <is>
          <t>Out of MVP scope per user decision 2026-09-24: MVP is Windows desktop offline app only (no Android/AI). See work/AUDIT_STATE.json scope_decision.</t>
        </is>
      </c>
      <c r="Q87" s="30" t="str"/>
      <c r="R87" s="30" t="inlineStr">
        <is>
          <t>N/A</t>
        </is>
      </c>
      <c r="S87" s="30" t="str"/>
      <c r="T87" s="31" t="inlineStr">
        <is>
          <t>Every release</t>
        </is>
      </c>
    </row>
    <row r="88">
      <c r="A88" s="29" t="inlineStr">
        <is>
          <t>A016</t>
        </is>
      </c>
      <c r="B88" s="30" t="inlineStr">
        <is>
          <t>Android</t>
        </is>
      </c>
      <c r="C88" s="30" t="inlineStr">
        <is>
          <t>12-Android</t>
        </is>
      </c>
      <c r="D88" s="30" t="inlineStr">
        <is>
          <t>Layout</t>
        </is>
      </c>
      <c r="E88" s="30" t="inlineStr">
        <is>
          <t>Keyboard open</t>
        </is>
      </c>
      <c r="F88" s="30" t="inlineStr">
        <is>
          <t>Focus bottom field</t>
        </is>
      </c>
      <c r="G88" s="30" t="inlineStr">
        <is>
          <t>Open keyboard and submit</t>
        </is>
      </c>
      <c r="H88" s="30" t="inlineStr">
        <is>
          <t>Field/action scrolls above keyboard</t>
        </is>
      </c>
      <c r="I88" s="30" t="inlineStr">
        <is>
          <t>Physical/emulator</t>
        </is>
      </c>
      <c r="J88" s="30" t="inlineStr">
        <is>
          <t>Manual</t>
        </is>
      </c>
      <c r="K88" s="30" t="inlineStr">
        <is>
          <t>P0</t>
        </is>
      </c>
      <c r="L88" s="30" t="inlineStr">
        <is>
          <t>Critical</t>
        </is>
      </c>
      <c r="M88" s="30" t="inlineStr">
        <is>
          <t>YES</t>
        </is>
      </c>
      <c r="N88" s="30" t="inlineStr">
        <is>
          <t>N/A</t>
        </is>
      </c>
      <c r="O88" s="30" t="str"/>
      <c r="P88" s="30" t="inlineStr">
        <is>
          <t>Out of MVP scope per user decision 2026-09-24: MVP is Windows desktop offline app only (no Android/AI). See work/AUDIT_STATE.json scope_decision.</t>
        </is>
      </c>
      <c r="Q88" s="30" t="str"/>
      <c r="R88" s="30" t="inlineStr">
        <is>
          <t>N/A</t>
        </is>
      </c>
      <c r="S88" s="30" t="str"/>
      <c r="T88" s="31" t="inlineStr">
        <is>
          <t>Every release</t>
        </is>
      </c>
    </row>
    <row r="89">
      <c r="A89" s="29" t="inlineStr">
        <is>
          <t>A017</t>
        </is>
      </c>
      <c r="B89" s="30" t="inlineStr">
        <is>
          <t>Android</t>
        </is>
      </c>
      <c r="C89" s="30" t="inlineStr">
        <is>
          <t>12-Android</t>
        </is>
      </c>
      <c r="D89" s="30" t="inlineStr">
        <is>
          <t>Layout</t>
        </is>
      </c>
      <c r="E89" s="30" t="inlineStr">
        <is>
          <t>Cutout/insets</t>
        </is>
      </c>
      <c r="F89" s="30" t="inlineStr">
        <is>
          <t>Notch/cutout device</t>
        </is>
      </c>
      <c r="G89" s="30" t="inlineStr">
        <is>
          <t>Open header/modal/fullscreen screens</t>
        </is>
      </c>
      <c r="H89" s="30" t="inlineStr">
        <is>
          <t>UI respects safe areas</t>
        </is>
      </c>
      <c r="I89" s="30" t="inlineStr">
        <is>
          <t>Emulator</t>
        </is>
      </c>
      <c r="J89" s="30" t="inlineStr">
        <is>
          <t>Manual</t>
        </is>
      </c>
      <c r="K89" s="30" t="inlineStr">
        <is>
          <t>P2</t>
        </is>
      </c>
      <c r="L89" s="30" t="inlineStr">
        <is>
          <t>Medium</t>
        </is>
      </c>
      <c r="M89" s="30" t="inlineStr">
        <is>
          <t>NO</t>
        </is>
      </c>
      <c r="N89" s="30" t="inlineStr">
        <is>
          <t>N/A</t>
        </is>
      </c>
      <c r="O89" s="30" t="str"/>
      <c r="P89" s="30" t="inlineStr">
        <is>
          <t>Out of MVP scope per user decision 2026-09-24: MVP is Windows desktop offline app only (no Android/AI). See work/AUDIT_STATE.json scope_decision.</t>
        </is>
      </c>
      <c r="Q89" s="30" t="str"/>
      <c r="R89" s="30" t="inlineStr">
        <is>
          <t>N/A</t>
        </is>
      </c>
      <c r="S89" s="30" t="str"/>
      <c r="T89" s="31" t="inlineStr">
        <is>
          <t>Before MVP</t>
        </is>
      </c>
    </row>
    <row r="90">
      <c r="A90" s="29" t="inlineStr">
        <is>
          <t>A018</t>
        </is>
      </c>
      <c r="B90" s="30" t="inlineStr">
        <is>
          <t>Android</t>
        </is>
      </c>
      <c r="C90" s="30" t="inlineStr">
        <is>
          <t>12-Android</t>
        </is>
      </c>
      <c r="D90" s="30" t="inlineStr">
        <is>
          <t>Layout</t>
        </is>
      </c>
      <c r="E90" s="30" t="inlineStr">
        <is>
          <t>Small phone</t>
        </is>
      </c>
      <c r="F90" s="30" t="inlineStr">
        <is>
          <t>Smallest supported viewport</t>
        </is>
      </c>
      <c r="G90" s="30" t="inlineStr">
        <is>
          <t>Run critical flows</t>
        </is>
      </c>
      <c r="H90" s="30" t="inlineStr">
        <is>
          <t>All core controls usable</t>
        </is>
      </c>
      <c r="I90" s="30" t="inlineStr">
        <is>
          <t>Emulator/device</t>
        </is>
      </c>
      <c r="J90" s="30" t="inlineStr">
        <is>
          <t>Manual</t>
        </is>
      </c>
      <c r="K90" s="30" t="inlineStr">
        <is>
          <t>P0</t>
        </is>
      </c>
      <c r="L90" s="30" t="inlineStr">
        <is>
          <t>Critical</t>
        </is>
      </c>
      <c r="M90" s="30" t="inlineStr">
        <is>
          <t>YES</t>
        </is>
      </c>
      <c r="N90" s="30" t="inlineStr">
        <is>
          <t>N/A</t>
        </is>
      </c>
      <c r="O90" s="30" t="str"/>
      <c r="P90" s="30" t="inlineStr">
        <is>
          <t>Out of MVP scope per user decision 2026-09-24: MVP is Windows desktop offline app only (no Android/AI). See work/AUDIT_STATE.json scope_decision.</t>
        </is>
      </c>
      <c r="Q90" s="30" t="str"/>
      <c r="R90" s="30" t="inlineStr">
        <is>
          <t>N/A</t>
        </is>
      </c>
      <c r="S90" s="30" t="str"/>
      <c r="T90" s="31" t="inlineStr">
        <is>
          <t>Every release</t>
        </is>
      </c>
    </row>
    <row r="91">
      <c r="A91" s="29" t="inlineStr">
        <is>
          <t>A019</t>
        </is>
      </c>
      <c r="B91" s="30" t="inlineStr">
        <is>
          <t>Android</t>
        </is>
      </c>
      <c r="C91" s="30" t="inlineStr">
        <is>
          <t>12-Android</t>
        </is>
      </c>
      <c r="D91" s="30" t="inlineStr">
        <is>
          <t>Layout</t>
        </is>
      </c>
      <c r="E91" s="30" t="inlineStr">
        <is>
          <t>Large font</t>
        </is>
      </c>
      <c r="F91" s="30" t="inlineStr">
        <is>
          <t>Increase font/display size</t>
        </is>
      </c>
      <c r="G91" s="30" t="inlineStr">
        <is>
          <t>Run forms/navigation</t>
        </is>
      </c>
      <c r="H91" s="30" t="inlineStr">
        <is>
          <t>Critical text/buttons usable</t>
        </is>
      </c>
      <c r="I91" s="30" t="inlineStr">
        <is>
          <t>Android settings</t>
        </is>
      </c>
      <c r="J91" s="30" t="inlineStr">
        <is>
          <t>Manual</t>
        </is>
      </c>
      <c r="K91" s="30" t="inlineStr">
        <is>
          <t>P1</t>
        </is>
      </c>
      <c r="L91" s="30" t="inlineStr">
        <is>
          <t>High</t>
        </is>
      </c>
      <c r="M91" s="30" t="inlineStr">
        <is>
          <t>YES</t>
        </is>
      </c>
      <c r="N91" s="30" t="inlineStr">
        <is>
          <t>N/A</t>
        </is>
      </c>
      <c r="O91" s="30" t="str"/>
      <c r="P91" s="30" t="inlineStr">
        <is>
          <t>Out of MVP scope per user decision 2026-09-24: MVP is Windows desktop offline app only (no Android/AI). See work/AUDIT_STATE.json scope_decision.</t>
        </is>
      </c>
      <c r="Q91" s="30" t="str"/>
      <c r="R91" s="30" t="inlineStr">
        <is>
          <t>N/A</t>
        </is>
      </c>
      <c r="S91" s="30" t="str"/>
      <c r="T91" s="31" t="inlineStr">
        <is>
          <t>Before MVP</t>
        </is>
      </c>
    </row>
    <row r="92">
      <c r="A92" s="29" t="inlineStr">
        <is>
          <t>A020</t>
        </is>
      </c>
      <c r="B92" s="30" t="inlineStr">
        <is>
          <t>Android</t>
        </is>
      </c>
      <c r="C92" s="30" t="inlineStr">
        <is>
          <t>12-Android</t>
        </is>
      </c>
      <c r="D92" s="30" t="inlineStr">
        <is>
          <t>Compatibility</t>
        </is>
      </c>
      <c r="E92" s="30" t="inlineStr">
        <is>
          <t>Minimum supported Android</t>
        </is>
      </c>
      <c r="F92" s="30" t="inlineStr">
        <is>
          <t>Min OS</t>
        </is>
      </c>
      <c r="G92" s="30" t="inlineStr">
        <is>
          <t>Run critical suite</t>
        </is>
      </c>
      <c r="H92" s="30" t="inlineStr">
        <is>
          <t>100% critical suite pass</t>
        </is>
      </c>
      <c r="I92" s="30" t="inlineStr">
        <is>
          <t>Emulator/device</t>
        </is>
      </c>
      <c r="J92" s="30" t="inlineStr">
        <is>
          <t>Semi-automated</t>
        </is>
      </c>
      <c r="K92" s="30" t="inlineStr">
        <is>
          <t>P0</t>
        </is>
      </c>
      <c r="L92" s="30" t="inlineStr">
        <is>
          <t>Critical</t>
        </is>
      </c>
      <c r="M92" s="30" t="inlineStr">
        <is>
          <t>YES</t>
        </is>
      </c>
      <c r="N92" s="30" t="inlineStr">
        <is>
          <t>N/A</t>
        </is>
      </c>
      <c r="O92" s="30" t="str"/>
      <c r="P92" s="30" t="inlineStr">
        <is>
          <t>Out of MVP scope per user decision 2026-09-24: MVP is Windows desktop offline app only (no Android/AI). See work/AUDIT_STATE.json scope_decision.</t>
        </is>
      </c>
      <c r="Q92" s="30" t="str"/>
      <c r="R92" s="30" t="inlineStr">
        <is>
          <t>N/A</t>
        </is>
      </c>
      <c r="S92" s="30" t="str"/>
      <c r="T92" s="31" t="inlineStr">
        <is>
          <t>Every release</t>
        </is>
      </c>
    </row>
    <row r="93">
      <c r="A93" s="29" t="inlineStr">
        <is>
          <t>A021</t>
        </is>
      </c>
      <c r="B93" s="30" t="inlineStr">
        <is>
          <t>Android</t>
        </is>
      </c>
      <c r="C93" s="30" t="inlineStr">
        <is>
          <t>12-Android</t>
        </is>
      </c>
      <c r="D93" s="30" t="inlineStr">
        <is>
          <t>Compatibility</t>
        </is>
      </c>
      <c r="E93" s="30" t="inlineStr">
        <is>
          <t>Target/current supported Android</t>
        </is>
      </c>
      <c r="F93" s="30" t="inlineStr">
        <is>
          <t>Target OS</t>
        </is>
      </c>
      <c r="G93" s="30" t="inlineStr">
        <is>
          <t>Run critical suite</t>
        </is>
      </c>
      <c r="H93" s="30" t="inlineStr">
        <is>
          <t>100% critical suite pass</t>
        </is>
      </c>
      <c r="I93" s="30" t="inlineStr">
        <is>
          <t>Emulator/device</t>
        </is>
      </c>
      <c r="J93" s="30" t="inlineStr">
        <is>
          <t>Semi-automated</t>
        </is>
      </c>
      <c r="K93" s="30" t="inlineStr">
        <is>
          <t>P0</t>
        </is>
      </c>
      <c r="L93" s="30" t="inlineStr">
        <is>
          <t>Critical</t>
        </is>
      </c>
      <c r="M93" s="30" t="inlineStr">
        <is>
          <t>YES</t>
        </is>
      </c>
      <c r="N93" s="30" t="inlineStr">
        <is>
          <t>N/A</t>
        </is>
      </c>
      <c r="O93" s="30" t="str"/>
      <c r="P93" s="30" t="inlineStr">
        <is>
          <t>Out of MVP scope per user decision 2026-09-24: MVP is Windows desktop offline app only (no Android/AI). See work/AUDIT_STATE.json scope_decision.</t>
        </is>
      </c>
      <c r="Q93" s="30" t="str"/>
      <c r="R93" s="30" t="inlineStr">
        <is>
          <t>N/A</t>
        </is>
      </c>
      <c r="S93" s="30" t="str"/>
      <c r="T93" s="31" t="inlineStr">
        <is>
          <t>Every release</t>
        </is>
      </c>
    </row>
    <row r="94">
      <c r="A94" s="29" t="inlineStr">
        <is>
          <t>A022</t>
        </is>
      </c>
      <c r="B94" s="30" t="inlineStr">
        <is>
          <t>Android</t>
        </is>
      </c>
      <c r="C94" s="30" t="inlineStr">
        <is>
          <t>12-Android</t>
        </is>
      </c>
      <c r="D94" s="30" t="inlineStr">
        <is>
          <t>Compatibility</t>
        </is>
      </c>
      <c r="E94" s="30" t="inlineStr">
        <is>
          <t>OEM variation</t>
        </is>
      </c>
      <c r="F94" s="30" t="inlineStr">
        <is>
          <t>Non-stock OEM</t>
        </is>
      </c>
      <c r="G94" s="30" t="inlineStr">
        <is>
          <t>Run smoke + critical flows</t>
        </is>
      </c>
      <c r="H94" s="30" t="inlineStr">
        <is>
          <t>No OEM-specific blocker</t>
        </is>
      </c>
      <c r="I94" s="30" t="inlineStr">
        <is>
          <t>Physical device</t>
        </is>
      </c>
      <c r="J94" s="30" t="inlineStr">
        <is>
          <t>Manual</t>
        </is>
      </c>
      <c r="K94" s="30" t="inlineStr">
        <is>
          <t>P1</t>
        </is>
      </c>
      <c r="L94" s="30" t="inlineStr">
        <is>
          <t>High</t>
        </is>
      </c>
      <c r="M94" s="30" t="inlineStr">
        <is>
          <t>YES</t>
        </is>
      </c>
      <c r="N94" s="30" t="inlineStr">
        <is>
          <t>N/A</t>
        </is>
      </c>
      <c r="O94" s="30" t="str"/>
      <c r="P94" s="30" t="inlineStr">
        <is>
          <t>Out of MVP scope per user decision 2026-09-24: MVP is Windows desktop offline app only (no Android/AI). See work/AUDIT_STATE.json scope_decision.</t>
        </is>
      </c>
      <c r="Q94" s="30" t="str"/>
      <c r="R94" s="30" t="inlineStr">
        <is>
          <t>N/A</t>
        </is>
      </c>
      <c r="S94" s="30" t="str"/>
      <c r="T94" s="31" t="inlineStr">
        <is>
          <t>Before MVP</t>
        </is>
      </c>
    </row>
    <row r="95">
      <c r="A95" s="29" t="inlineStr">
        <is>
          <t>A023</t>
        </is>
      </c>
      <c r="B95" s="30" t="inlineStr">
        <is>
          <t>Android</t>
        </is>
      </c>
      <c r="C95" s="30" t="inlineStr">
        <is>
          <t>12-Android</t>
        </is>
      </c>
      <c r="D95" s="30" t="inlineStr">
        <is>
          <t>WebView/Capacitor</t>
        </is>
      </c>
      <c r="E95" s="30" t="inlineStr">
        <is>
          <t>Bridge actions</t>
        </is>
      </c>
      <c r="F95" s="30" t="inlineStr">
        <is>
          <t>Native bridge/plugin calls</t>
        </is>
      </c>
      <c r="G95" s="30" t="inlineStr">
        <is>
          <t>Test file/share/permission/native calls</t>
        </is>
      </c>
      <c r="H95" s="30" t="inlineStr">
        <is>
          <t>All resolve correctly</t>
        </is>
      </c>
      <c r="I95" s="30" t="inlineStr">
        <is>
          <t>Logcat/manual</t>
        </is>
      </c>
      <c r="J95" s="30" t="inlineStr">
        <is>
          <t>Semi-automated</t>
        </is>
      </c>
      <c r="K95" s="30" t="inlineStr">
        <is>
          <t>P0</t>
        </is>
      </c>
      <c r="L95" s="30" t="inlineStr">
        <is>
          <t>Critical</t>
        </is>
      </c>
      <c r="M95" s="30" t="inlineStr">
        <is>
          <t>YES</t>
        </is>
      </c>
      <c r="N95" s="30" t="inlineStr">
        <is>
          <t>N/A</t>
        </is>
      </c>
      <c r="O95" s="30" t="str"/>
      <c r="P95" s="30" t="inlineStr">
        <is>
          <t>Out of MVP scope per user decision 2026-09-24: MVP is Windows desktop offline app only (no Android/AI). See work/AUDIT_STATE.json scope_decision.</t>
        </is>
      </c>
      <c r="Q95" s="30" t="str"/>
      <c r="R95" s="30" t="inlineStr">
        <is>
          <t>N/A</t>
        </is>
      </c>
      <c r="S95" s="30" t="str"/>
      <c r="T95" s="31" t="inlineStr">
        <is>
          <t>Every release</t>
        </is>
      </c>
    </row>
    <row r="96">
      <c r="A96" s="29" t="inlineStr">
        <is>
          <t>A024</t>
        </is>
      </c>
      <c r="B96" s="30" t="inlineStr">
        <is>
          <t>Android</t>
        </is>
      </c>
      <c r="C96" s="30" t="inlineStr">
        <is>
          <t>12-Android</t>
        </is>
      </c>
      <c r="D96" s="30" t="inlineStr">
        <is>
          <t>WebView/Capacitor</t>
        </is>
      </c>
      <c r="E96" s="30" t="inlineStr">
        <is>
          <t>WebView update</t>
        </is>
      </c>
      <c r="F96" s="30" t="inlineStr">
        <is>
          <t>System WebView update</t>
        </is>
      </c>
      <c r="G96" s="30" t="inlineStr">
        <is>
          <t>Update/restart and run critical flows</t>
        </is>
      </c>
      <c r="H96" s="30" t="inlineStr">
        <is>
          <t>No blank screen/plugin regression</t>
        </is>
      </c>
      <c r="I96" s="30" t="inlineStr">
        <is>
          <t>Physical/emulator</t>
        </is>
      </c>
      <c r="J96" s="30" t="inlineStr">
        <is>
          <t>Manual</t>
        </is>
      </c>
      <c r="K96" s="30" t="inlineStr">
        <is>
          <t>P1</t>
        </is>
      </c>
      <c r="L96" s="30" t="inlineStr">
        <is>
          <t>High</t>
        </is>
      </c>
      <c r="M96" s="30" t="inlineStr">
        <is>
          <t>YES</t>
        </is>
      </c>
      <c r="N96" s="30" t="inlineStr">
        <is>
          <t>N/A</t>
        </is>
      </c>
      <c r="O96" s="30" t="str"/>
      <c r="P96" s="30" t="inlineStr">
        <is>
          <t>Out of MVP scope per user decision 2026-09-24: MVP is Windows desktop offline app only (no Android/AI). See work/AUDIT_STATE.json scope_decision.</t>
        </is>
      </c>
      <c r="Q96" s="30" t="str"/>
      <c r="R96" s="30" t="inlineStr">
        <is>
          <t>N/A</t>
        </is>
      </c>
      <c r="S96" s="30" t="str"/>
      <c r="T96" s="31" t="inlineStr">
        <is>
          <t>Before MVP</t>
        </is>
      </c>
    </row>
    <row r="97">
      <c r="A97" s="29" t="inlineStr">
        <is>
          <t>A025</t>
        </is>
      </c>
      <c r="B97" s="30" t="inlineStr">
        <is>
          <t>Android</t>
        </is>
      </c>
      <c r="C97" s="30" t="inlineStr">
        <is>
          <t>12-Android</t>
        </is>
      </c>
      <c r="D97" s="30" t="inlineStr">
        <is>
          <t>Network</t>
        </is>
      </c>
      <c r="E97" s="30" t="inlineStr">
        <is>
          <t>Wi-Fi→cellular</t>
        </is>
      </c>
      <c r="F97" s="30" t="inlineStr">
        <is>
          <t>Switch during active request</t>
        </is>
      </c>
      <c r="G97" s="30" t="inlineStr">
        <is>
          <t>Observe request/state</t>
        </is>
      </c>
      <c r="H97" s="30" t="inlineStr">
        <is>
          <t>No duplicate/stuck operation</t>
        </is>
      </c>
      <c r="I97" s="30" t="inlineStr">
        <is>
          <t>Device/manual</t>
        </is>
      </c>
      <c r="J97" s="30" t="inlineStr">
        <is>
          <t>Manual</t>
        </is>
      </c>
      <c r="K97" s="30" t="inlineStr">
        <is>
          <t>P1</t>
        </is>
      </c>
      <c r="L97" s="30" t="inlineStr">
        <is>
          <t>High</t>
        </is>
      </c>
      <c r="M97" s="30" t="inlineStr">
        <is>
          <t>YES</t>
        </is>
      </c>
      <c r="N97" s="30" t="inlineStr">
        <is>
          <t>N/A</t>
        </is>
      </c>
      <c r="O97" s="30" t="str"/>
      <c r="P97" s="30" t="inlineStr">
        <is>
          <t>Out of MVP scope per user decision 2026-09-24: MVP is Windows desktop offline app only (no Android/AI). See work/AUDIT_STATE.json scope_decision.</t>
        </is>
      </c>
      <c r="Q97" s="30" t="str"/>
      <c r="R97" s="30" t="inlineStr">
        <is>
          <t>N/A</t>
        </is>
      </c>
      <c r="S97" s="30" t="str"/>
      <c r="T97" s="31" t="inlineStr">
        <is>
          <t>Before MVP</t>
        </is>
      </c>
    </row>
    <row r="98">
      <c r="A98" s="29" t="inlineStr">
        <is>
          <t>A026</t>
        </is>
      </c>
      <c r="B98" s="30" t="inlineStr">
        <is>
          <t>Android</t>
        </is>
      </c>
      <c r="C98" s="30" t="inlineStr">
        <is>
          <t>12-Android</t>
        </is>
      </c>
      <c r="D98" s="30" t="inlineStr">
        <is>
          <t>Network</t>
        </is>
      </c>
      <c r="E98" s="30" t="inlineStr">
        <is>
          <t>Online→offline</t>
        </is>
      </c>
      <c r="F98" s="30" t="inlineStr">
        <is>
          <t>Disable network during sync/request</t>
        </is>
      </c>
      <c r="G98" s="30" t="inlineStr">
        <is>
          <t>Continue app use</t>
        </is>
      </c>
      <c r="H98" s="30" t="inlineStr">
        <is>
          <t>Clear failure state; safe local data</t>
        </is>
      </c>
      <c r="I98" s="30" t="inlineStr">
        <is>
          <t>Device/manual</t>
        </is>
      </c>
      <c r="J98" s="30" t="inlineStr">
        <is>
          <t>Manual</t>
        </is>
      </c>
      <c r="K98" s="30" t="inlineStr">
        <is>
          <t>P0</t>
        </is>
      </c>
      <c r="L98" s="30" t="inlineStr">
        <is>
          <t>Critical</t>
        </is>
      </c>
      <c r="M98" s="30" t="inlineStr">
        <is>
          <t>YES</t>
        </is>
      </c>
      <c r="N98" s="30" t="inlineStr">
        <is>
          <t>N/A</t>
        </is>
      </c>
      <c r="O98" s="30" t="str"/>
      <c r="P98" s="30" t="inlineStr">
        <is>
          <t>Out of MVP scope per user decision 2026-09-24: MVP is Windows desktop offline app only (no Android/AI). See work/AUDIT_STATE.json scope_decision.</t>
        </is>
      </c>
      <c r="Q98" s="30" t="str"/>
      <c r="R98" s="30" t="inlineStr">
        <is>
          <t>N/A</t>
        </is>
      </c>
      <c r="S98" s="30" t="str"/>
      <c r="T98" s="31" t="inlineStr">
        <is>
          <t>Every release</t>
        </is>
      </c>
    </row>
    <row r="99">
      <c r="A99" s="29" t="inlineStr">
        <is>
          <t>A027</t>
        </is>
      </c>
      <c r="B99" s="30" t="inlineStr">
        <is>
          <t>Android</t>
        </is>
      </c>
      <c r="C99" s="30" t="inlineStr">
        <is>
          <t>12-Android</t>
        </is>
      </c>
      <c r="D99" s="30" t="inlineStr">
        <is>
          <t>Network</t>
        </is>
      </c>
      <c r="E99" s="30" t="inlineStr">
        <is>
          <t>Offline→online</t>
        </is>
      </c>
      <c r="F99" s="30" t="inlineStr">
        <is>
          <t>Reconnect after offline edits</t>
        </is>
      </c>
      <c r="G99" s="30" t="inlineStr">
        <is>
          <t>Observe sync</t>
        </is>
      </c>
      <c r="H99" s="30" t="inlineStr">
        <is>
          <t>Sync once; no duplication</t>
        </is>
      </c>
      <c r="I99" s="30" t="inlineStr">
        <is>
          <t>Device/manual</t>
        </is>
      </c>
      <c r="J99" s="30" t="inlineStr">
        <is>
          <t>Manual</t>
        </is>
      </c>
      <c r="K99" s="30" t="inlineStr">
        <is>
          <t>P0</t>
        </is>
      </c>
      <c r="L99" s="30" t="inlineStr">
        <is>
          <t>Critical</t>
        </is>
      </c>
      <c r="M99" s="30" t="inlineStr">
        <is>
          <t>YES</t>
        </is>
      </c>
      <c r="N99" s="30" t="inlineStr">
        <is>
          <t>N/A</t>
        </is>
      </c>
      <c r="O99" s="30" t="str"/>
      <c r="P99" s="30" t="inlineStr">
        <is>
          <t>Out of MVP scope per user decision 2026-09-24: MVP is Windows desktop offline app only (no Android/AI). See work/AUDIT_STATE.json scope_decision.</t>
        </is>
      </c>
      <c r="Q99" s="30" t="str"/>
      <c r="R99" s="30" t="inlineStr">
        <is>
          <t>N/A</t>
        </is>
      </c>
      <c r="S99" s="30" t="str"/>
      <c r="T99" s="31" t="inlineStr">
        <is>
          <t>Every release</t>
        </is>
      </c>
    </row>
    <row r="100">
      <c r="A100" s="29" t="inlineStr">
        <is>
          <t>A028</t>
        </is>
      </c>
      <c r="B100" s="30" t="inlineStr">
        <is>
          <t>Android</t>
        </is>
      </c>
      <c r="C100" s="30" t="inlineStr">
        <is>
          <t>12-Android</t>
        </is>
      </c>
      <c r="D100" s="30" t="inlineStr">
        <is>
          <t>Battery</t>
        </is>
      </c>
      <c r="E100" s="30" t="inlineStr">
        <is>
          <t>Idle drain</t>
        </is>
      </c>
      <c r="F100" s="30" t="inlineStr">
        <is>
          <t>Foreground/background idle</t>
        </is>
      </c>
      <c r="G100" s="30" t="inlineStr">
        <is>
          <t>Measure controlled period</t>
        </is>
      </c>
      <c r="H100" s="30" t="inlineStr">
        <is>
          <t>No abnormal sustained CPU/network/wakelock</t>
        </is>
      </c>
      <c r="I100" s="30" t="inlineStr">
        <is>
          <t>Profiler/Battery Historian</t>
        </is>
      </c>
      <c r="J100" s="30" t="inlineStr">
        <is>
          <t>Manual</t>
        </is>
      </c>
      <c r="K100" s="30" t="inlineStr">
        <is>
          <t>P1</t>
        </is>
      </c>
      <c r="L100" s="30" t="inlineStr">
        <is>
          <t>High</t>
        </is>
      </c>
      <c r="M100" s="30" t="inlineStr">
        <is>
          <t>YES</t>
        </is>
      </c>
      <c r="N100" s="30" t="inlineStr">
        <is>
          <t>N/A</t>
        </is>
      </c>
      <c r="O100" s="30" t="str"/>
      <c r="P100" s="30" t="inlineStr">
        <is>
          <t>Out of MVP scope per user decision 2026-09-24: MVP is Windows desktop offline app only (no Android/AI). See work/AUDIT_STATE.json scope_decision.</t>
        </is>
      </c>
      <c r="Q100" s="30" t="str"/>
      <c r="R100" s="30" t="inlineStr">
        <is>
          <t>N/A</t>
        </is>
      </c>
      <c r="S100" s="30" t="str"/>
      <c r="T100" s="31" t="inlineStr">
        <is>
          <t>Before MVP</t>
        </is>
      </c>
    </row>
    <row r="101">
      <c r="A101" s="29" t="inlineStr">
        <is>
          <t>A029</t>
        </is>
      </c>
      <c r="B101" s="30" t="inlineStr">
        <is>
          <t>Android</t>
        </is>
      </c>
      <c r="C101" s="30" t="inlineStr">
        <is>
          <t>12-Android</t>
        </is>
      </c>
      <c r="D101" s="30" t="inlineStr">
        <is>
          <t>Background</t>
        </is>
      </c>
      <c r="E101" s="30" t="inlineStr">
        <is>
          <t>Doze mode</t>
        </is>
      </c>
      <c r="F101" s="30" t="inlineStr">
        <is>
          <t>Force Doze</t>
        </is>
      </c>
      <c r="G101" s="30" t="inlineStr">
        <is>
          <t>Queue background work then Doze</t>
        </is>
      </c>
      <c r="H101" s="30" t="inlineStr">
        <is>
          <t>Deferred/resumed as designed; no data loss</t>
        </is>
      </c>
      <c r="I101" s="30" t="inlineStr">
        <is>
          <t>ADB doze</t>
        </is>
      </c>
      <c r="J101" s="30" t="inlineStr">
        <is>
          <t>Manual</t>
        </is>
      </c>
      <c r="K101" s="30" t="inlineStr">
        <is>
          <t>P1</t>
        </is>
      </c>
      <c r="L101" s="30" t="inlineStr">
        <is>
          <t>High</t>
        </is>
      </c>
      <c r="M101" s="30" t="inlineStr">
        <is>
          <t>YES</t>
        </is>
      </c>
      <c r="N101" s="30" t="inlineStr">
        <is>
          <t>N/A</t>
        </is>
      </c>
      <c r="O101" s="30" t="str"/>
      <c r="P101" s="30" t="inlineStr">
        <is>
          <t>Out of MVP scope per user decision 2026-09-24: MVP is Windows desktop offline app only (no Android/AI). See work/AUDIT_STATE.json scope_decision.</t>
        </is>
      </c>
      <c r="Q101" s="30" t="str"/>
      <c r="R101" s="30" t="inlineStr">
        <is>
          <t>N/A</t>
        </is>
      </c>
      <c r="S101" s="30" t="str"/>
      <c r="T101" s="31" t="inlineStr">
        <is>
          <t>Before MVP</t>
        </is>
      </c>
    </row>
    <row r="102">
      <c r="A102" s="29" t="inlineStr">
        <is>
          <t>A030</t>
        </is>
      </c>
      <c r="B102" s="30" t="inlineStr">
        <is>
          <t>Android</t>
        </is>
      </c>
      <c r="C102" s="30" t="inlineStr">
        <is>
          <t>12-Android</t>
        </is>
      </c>
      <c r="D102" s="30" t="inlineStr">
        <is>
          <t>Background</t>
        </is>
      </c>
      <c r="E102" s="30" t="inlineStr">
        <is>
          <t>Battery saver</t>
        </is>
      </c>
      <c r="F102" s="30" t="inlineStr">
        <is>
          <t>Enable saver</t>
        </is>
      </c>
      <c r="G102" s="30" t="inlineStr">
        <is>
          <t>Use app normally</t>
        </is>
      </c>
      <c r="H102" s="30" t="inlineStr">
        <is>
          <t>Foreground stable; background behavior documented</t>
        </is>
      </c>
      <c r="I102" s="30" t="inlineStr">
        <is>
          <t>Device/ADB</t>
        </is>
      </c>
      <c r="J102" s="30" t="inlineStr">
        <is>
          <t>Manual</t>
        </is>
      </c>
      <c r="K102" s="30" t="inlineStr">
        <is>
          <t>P2</t>
        </is>
      </c>
      <c r="L102" s="30" t="inlineStr">
        <is>
          <t>Medium</t>
        </is>
      </c>
      <c r="M102" s="30" t="inlineStr">
        <is>
          <t>NO</t>
        </is>
      </c>
      <c r="N102" s="30" t="inlineStr">
        <is>
          <t>N/A</t>
        </is>
      </c>
      <c r="O102" s="30" t="str"/>
      <c r="P102" s="30" t="inlineStr">
        <is>
          <t>Out of MVP scope per user decision 2026-09-24: MVP is Windows desktop offline app only (no Android/AI). See work/AUDIT_STATE.json scope_decision.</t>
        </is>
      </c>
      <c r="Q102" s="30" t="str"/>
      <c r="R102" s="30" t="inlineStr">
        <is>
          <t>N/A</t>
        </is>
      </c>
      <c r="S102" s="30" t="str"/>
      <c r="T102" s="31" t="inlineStr">
        <is>
          <t>Before MVP</t>
        </is>
      </c>
    </row>
    <row r="103">
      <c r="A103" s="29" t="inlineStr">
        <is>
          <t>A031</t>
        </is>
      </c>
      <c r="B103" s="30" t="inlineStr">
        <is>
          <t>Android</t>
        </is>
      </c>
      <c r="C103" s="30" t="inlineStr">
        <is>
          <t>12-Android</t>
        </is>
      </c>
      <c r="D103" s="30" t="inlineStr">
        <is>
          <t>Low memory</t>
        </is>
      </c>
      <c r="E103" s="30" t="inlineStr">
        <is>
          <t>Don't keep activities</t>
        </is>
      </c>
      <c r="F103" s="30" t="inlineStr">
        <is>
          <t>Destroy activities repeatedly</t>
        </is>
      </c>
      <c r="G103" s="30" t="inlineStr">
        <is>
          <t>Navigate/forms</t>
        </is>
      </c>
      <c r="H103" s="30" t="inlineStr">
        <is>
          <t>No state corruption/crash</t>
        </is>
      </c>
      <c r="I103" s="30" t="inlineStr">
        <is>
          <t>Developer options</t>
        </is>
      </c>
      <c r="J103" s="30" t="inlineStr">
        <is>
          <t>Manual</t>
        </is>
      </c>
      <c r="K103" s="30" t="inlineStr">
        <is>
          <t>P0</t>
        </is>
      </c>
      <c r="L103" s="30" t="inlineStr">
        <is>
          <t>Critical</t>
        </is>
      </c>
      <c r="M103" s="30" t="inlineStr">
        <is>
          <t>YES</t>
        </is>
      </c>
      <c r="N103" s="30" t="inlineStr">
        <is>
          <t>N/A</t>
        </is>
      </c>
      <c r="O103" s="30" t="str"/>
      <c r="P103" s="30" t="inlineStr">
        <is>
          <t>Out of MVP scope per user decision 2026-09-24: MVP is Windows desktop offline app only (no Android/AI). See work/AUDIT_STATE.json scope_decision.</t>
        </is>
      </c>
      <c r="Q103" s="30" t="str"/>
      <c r="R103" s="30" t="inlineStr">
        <is>
          <t>N/A</t>
        </is>
      </c>
      <c r="S103" s="30" t="str"/>
      <c r="T103" s="31" t="inlineStr">
        <is>
          <t>Every release</t>
        </is>
      </c>
    </row>
    <row r="104">
      <c r="A104" s="29" t="inlineStr">
        <is>
          <t>A032</t>
        </is>
      </c>
      <c r="B104" s="30" t="inlineStr">
        <is>
          <t>Android</t>
        </is>
      </c>
      <c r="C104" s="30" t="inlineStr">
        <is>
          <t>12-Android</t>
        </is>
      </c>
      <c r="D104" s="30" t="inlineStr">
        <is>
          <t>Storage</t>
        </is>
      </c>
      <c r="E104" s="30" t="inlineStr">
        <is>
          <t>Low free space</t>
        </is>
      </c>
      <c r="F104" s="30" t="inlineStr">
        <is>
          <t>Reduce available storage</t>
        </is>
      </c>
      <c r="G104" s="30" t="inlineStr">
        <is>
          <t>Import/export/save</t>
        </is>
      </c>
      <c r="H104" s="30" t="inlineStr">
        <is>
          <t>Graceful error before corruption</t>
        </is>
      </c>
      <c r="I104" s="30" t="inlineStr">
        <is>
          <t>Emulator/ADB</t>
        </is>
      </c>
      <c r="J104" s="30" t="inlineStr">
        <is>
          <t>Manual</t>
        </is>
      </c>
      <c r="K104" s="30" t="inlineStr">
        <is>
          <t>P0</t>
        </is>
      </c>
      <c r="L104" s="30" t="inlineStr">
        <is>
          <t>Critical</t>
        </is>
      </c>
      <c r="M104" s="30" t="inlineStr">
        <is>
          <t>YES</t>
        </is>
      </c>
      <c r="N104" s="30" t="inlineStr">
        <is>
          <t>N/A</t>
        </is>
      </c>
      <c r="O104" s="30" t="str"/>
      <c r="P104" s="30" t="inlineStr">
        <is>
          <t>Out of MVP scope per user decision 2026-09-24: MVP is Windows desktop offline app only (no Android/AI). See work/AUDIT_STATE.json scope_decision.</t>
        </is>
      </c>
      <c r="Q104" s="30" t="str"/>
      <c r="R104" s="30" t="inlineStr">
        <is>
          <t>N/A</t>
        </is>
      </c>
      <c r="S104" s="30" t="str"/>
      <c r="T104" s="31" t="inlineStr">
        <is>
          <t>Before MVP</t>
        </is>
      </c>
    </row>
    <row r="105">
      <c r="A105" s="29" t="inlineStr">
        <is>
          <t>A033</t>
        </is>
      </c>
      <c r="B105" s="30" t="inlineStr">
        <is>
          <t>Android</t>
        </is>
      </c>
      <c r="C105" s="30" t="inlineStr">
        <is>
          <t>12-Android</t>
        </is>
      </c>
      <c r="D105" s="30" t="inlineStr">
        <is>
          <t>Sharing</t>
        </is>
      </c>
      <c r="E105" s="30" t="inlineStr">
        <is>
          <t>Share/export target</t>
        </is>
      </c>
      <c r="F105" s="30" t="inlineStr">
        <is>
          <t>Share generated artifact</t>
        </is>
      </c>
      <c r="G105" s="30" t="inlineStr">
        <is>
          <t>Use share sheet then cancel/select app</t>
        </is>
      </c>
      <c r="H105" s="30" t="inlineStr">
        <is>
          <t>Correct MIME/name/content; cancel safe</t>
        </is>
      </c>
      <c r="I105" s="30" t="inlineStr">
        <is>
          <t>Android share sheet</t>
        </is>
      </c>
      <c r="J105" s="30" t="inlineStr">
        <is>
          <t>Manual</t>
        </is>
      </c>
      <c r="K105" s="30" t="inlineStr">
        <is>
          <t>P2</t>
        </is>
      </c>
      <c r="L105" s="30" t="inlineStr">
        <is>
          <t>Medium</t>
        </is>
      </c>
      <c r="M105" s="30" t="inlineStr">
        <is>
          <t>NO</t>
        </is>
      </c>
      <c r="N105" s="30" t="inlineStr">
        <is>
          <t>N/A</t>
        </is>
      </c>
      <c r="O105" s="30" t="str"/>
      <c r="P105" s="30" t="inlineStr">
        <is>
          <t>Out of MVP scope per user decision 2026-09-24: MVP is Windows desktop offline app only (no Android/AI). See work/AUDIT_STATE.json scope_decision.</t>
        </is>
      </c>
      <c r="Q105" s="30" t="str"/>
      <c r="R105" s="30" t="inlineStr">
        <is>
          <t>N/A</t>
        </is>
      </c>
      <c r="S105" s="30" t="str"/>
      <c r="T105" s="31" t="inlineStr">
        <is>
          <t>Before MVP</t>
        </is>
      </c>
    </row>
    <row r="106">
      <c r="A106" s="29" t="inlineStr">
        <is>
          <t>A034</t>
        </is>
      </c>
      <c r="B106" s="30" t="inlineStr">
        <is>
          <t>Android</t>
        </is>
      </c>
      <c r="C106" s="30" t="inlineStr">
        <is>
          <t>12-Android</t>
        </is>
      </c>
      <c r="D106" s="30" t="inlineStr">
        <is>
          <t>Back navigation</t>
        </is>
      </c>
      <c r="E106" s="30" t="inlineStr">
        <is>
          <t>System back</t>
        </is>
      </c>
      <c r="F106" s="30" t="inlineStr">
        <is>
          <t>Back from every critical screen/modal</t>
        </is>
      </c>
      <c r="G106" s="30" t="inlineStr">
        <is>
          <t>Use gesture/button back</t>
        </is>
      </c>
      <c r="H106" s="30" t="inlineStr">
        <is>
          <t>No accidental exit/data loss</t>
        </is>
      </c>
      <c r="I106" s="30" t="inlineStr">
        <is>
          <t>Manual</t>
        </is>
      </c>
      <c r="J106" s="30" t="inlineStr">
        <is>
          <t>Manual</t>
        </is>
      </c>
      <c r="K106" s="30" t="inlineStr">
        <is>
          <t>P1</t>
        </is>
      </c>
      <c r="L106" s="30" t="inlineStr">
        <is>
          <t>High</t>
        </is>
      </c>
      <c r="M106" s="30" t="inlineStr">
        <is>
          <t>YES</t>
        </is>
      </c>
      <c r="N106" s="30" t="inlineStr">
        <is>
          <t>N/A</t>
        </is>
      </c>
      <c r="O106" s="30" t="str"/>
      <c r="P106" s="30" t="inlineStr">
        <is>
          <t>Out of MVP scope per user decision 2026-09-24: MVP is Windows desktop offline app only (no Android/AI). See work/AUDIT_STATE.json scope_decision.</t>
        </is>
      </c>
      <c r="Q106" s="30" t="str"/>
      <c r="R106" s="30" t="inlineStr">
        <is>
          <t>N/A</t>
        </is>
      </c>
      <c r="S106" s="30" t="str"/>
      <c r="T106" s="31" t="inlineStr">
        <is>
          <t>Every release</t>
        </is>
      </c>
    </row>
    <row r="107">
      <c r="A107" s="29" t="inlineStr">
        <is>
          <t>A035</t>
        </is>
      </c>
      <c r="B107" s="30" t="inlineStr">
        <is>
          <t>Android</t>
        </is>
      </c>
      <c r="C107" s="30" t="inlineStr">
        <is>
          <t>12-Android</t>
        </is>
      </c>
      <c r="D107" s="30" t="inlineStr">
        <is>
          <t>Cold start</t>
        </is>
      </c>
      <c r="E107" s="30" t="inlineStr">
        <is>
          <t>After force-stop</t>
        </is>
      </c>
      <c r="F107" s="30" t="inlineStr">
        <is>
          <t>Force-stop then launch 10x</t>
        </is>
      </c>
      <c r="G107" s="30" t="inlineStr">
        <is>
          <t>Repeat</t>
        </is>
      </c>
      <c r="H107" s="30" t="inlineStr">
        <is>
          <t>No intermittent blank screen/crash</t>
        </is>
      </c>
      <c r="I107" s="30" t="inlineStr">
        <is>
          <t>ADB/manual</t>
        </is>
      </c>
      <c r="J107" s="30" t="inlineStr">
        <is>
          <t>Semi-automated</t>
        </is>
      </c>
      <c r="K107" s="30" t="inlineStr">
        <is>
          <t>P0</t>
        </is>
      </c>
      <c r="L107" s="30" t="inlineStr">
        <is>
          <t>Critical</t>
        </is>
      </c>
      <c r="M107" s="30" t="inlineStr">
        <is>
          <t>YES</t>
        </is>
      </c>
      <c r="N107" s="30" t="inlineStr">
        <is>
          <t>N/A</t>
        </is>
      </c>
      <c r="O107" s="30" t="str"/>
      <c r="P107" s="30" t="inlineStr">
        <is>
          <t>Out of MVP scope per user decision 2026-09-24: MVP is Windows desktop offline app only (no Android/AI). See work/AUDIT_STATE.json scope_decision.</t>
        </is>
      </c>
      <c r="Q107" s="30" t="str"/>
      <c r="R107" s="30" t="inlineStr">
        <is>
          <t>N/A</t>
        </is>
      </c>
      <c r="S107" s="30" t="str"/>
      <c r="T107" s="31" t="inlineStr">
        <is>
          <t>Every release</t>
        </is>
      </c>
    </row>
    <row r="108">
      <c r="A108" s="29" t="inlineStr">
        <is>
          <t>A036</t>
        </is>
      </c>
      <c r="B108" s="30" t="inlineStr">
        <is>
          <t>Android</t>
        </is>
      </c>
      <c r="C108" s="30" t="inlineStr">
        <is>
          <t>12-Android</t>
        </is>
      </c>
      <c r="D108" s="30" t="inlineStr">
        <is>
          <t>Logging</t>
        </is>
      </c>
      <c r="E108" s="30" t="inlineStr">
        <is>
          <t>Logcat</t>
        </is>
      </c>
      <c r="F108" s="30" t="inlineStr">
        <is>
          <t>Trigger major failures</t>
        </is>
      </c>
      <c r="G108" s="30" t="inlineStr">
        <is>
          <t>Inspect logcat</t>
        </is>
      </c>
      <c r="H108" s="30" t="inlineStr">
        <is>
          <t>Actionable logs without secrets/PII</t>
        </is>
      </c>
      <c r="I108" s="30" t="inlineStr">
        <is>
          <t>Logcat</t>
        </is>
      </c>
      <c r="J108" s="30" t="inlineStr">
        <is>
          <t>Manual</t>
        </is>
      </c>
      <c r="K108" s="30" t="inlineStr">
        <is>
          <t>P1</t>
        </is>
      </c>
      <c r="L108" s="30" t="inlineStr">
        <is>
          <t>High</t>
        </is>
      </c>
      <c r="M108" s="30" t="inlineStr">
        <is>
          <t>YES</t>
        </is>
      </c>
      <c r="N108" s="30" t="inlineStr">
        <is>
          <t>N/A</t>
        </is>
      </c>
      <c r="O108" s="30" t="str"/>
      <c r="P108" s="30" t="inlineStr">
        <is>
          <t>Out of MVP scope per user decision 2026-09-24: MVP is Windows desktop offline app only (no Android/AI). See work/AUDIT_STATE.json scope_decision.</t>
        </is>
      </c>
      <c r="Q108" s="30" t="str"/>
      <c r="R108" s="30" t="inlineStr">
        <is>
          <t>N/A</t>
        </is>
      </c>
      <c r="S108" s="30" t="str"/>
      <c r="T108" s="31" t="inlineStr">
        <is>
          <t>Every release</t>
        </is>
      </c>
    </row>
    <row r="109">
      <c r="A109" s="29" t="inlineStr">
        <is>
          <t>A037</t>
        </is>
      </c>
      <c r="B109" s="30" t="inlineStr">
        <is>
          <t>Android</t>
        </is>
      </c>
      <c r="C109" s="30" t="inlineStr">
        <is>
          <t>12-Android</t>
        </is>
      </c>
      <c r="D109" s="30" t="inlineStr">
        <is>
          <t>Release signing</t>
        </is>
      </c>
      <c r="E109" s="30" t="inlineStr">
        <is>
          <t>Identity/signature</t>
        </is>
      </c>
      <c r="F109" s="30" t="inlineStr">
        <is>
          <t>Verify package ID/version/signature/debug flag</t>
        </is>
      </c>
      <c r="G109" s="30" t="inlineStr">
        <is>
          <t>Inspect release artifact</t>
        </is>
      </c>
      <c r="H109" s="30" t="inlineStr">
        <is>
          <t>Correct production identity; debug=false</t>
        </is>
      </c>
      <c r="I109" s="30" t="inlineStr">
        <is>
          <t>apksigner/bundletool</t>
        </is>
      </c>
      <c r="J109" s="30" t="inlineStr">
        <is>
          <t>Semi-automated</t>
        </is>
      </c>
      <c r="K109" s="30" t="inlineStr">
        <is>
          <t>P0</t>
        </is>
      </c>
      <c r="L109" s="30" t="inlineStr">
        <is>
          <t>Critical</t>
        </is>
      </c>
      <c r="M109" s="30" t="inlineStr">
        <is>
          <t>YES</t>
        </is>
      </c>
      <c r="N109" s="30" t="inlineStr">
        <is>
          <t>N/A</t>
        </is>
      </c>
      <c r="O109" s="30" t="str"/>
      <c r="P109" s="30" t="inlineStr">
        <is>
          <t>Out of MVP scope per user decision 2026-09-24: MVP is Windows desktop offline app only (no Android/AI). See work/AUDIT_STATE.json scope_decision.</t>
        </is>
      </c>
      <c r="Q109" s="30" t="str"/>
      <c r="R109" s="30" t="inlineStr">
        <is>
          <t>N/A</t>
        </is>
      </c>
      <c r="S109" s="30" t="str"/>
      <c r="T109" s="31" t="inlineStr">
        <is>
          <t>Every release</t>
        </is>
      </c>
    </row>
    <row r="110">
      <c r="A110" s="29" t="inlineStr">
        <is>
          <t>A038</t>
        </is>
      </c>
      <c r="B110" s="30" t="inlineStr">
        <is>
          <t>Android</t>
        </is>
      </c>
      <c r="C110" s="30" t="inlineStr">
        <is>
          <t>12-Android</t>
        </is>
      </c>
      <c r="D110" s="30" t="inlineStr">
        <is>
          <t>Deep links</t>
        </is>
      </c>
      <c r="E110" s="30" t="inlineStr">
        <is>
          <t>Cold/warm start</t>
        </is>
      </c>
      <c r="F110" s="30" t="inlineStr">
        <is>
          <t>Open valid/invalid app links if used</t>
        </is>
      </c>
      <c r="G110" s="30" t="inlineStr">
        <is>
          <t>Test cold/warm states</t>
        </is>
      </c>
      <c r="H110" s="30" t="inlineStr">
        <is>
          <t>Correct route or safe fallback</t>
        </is>
      </c>
      <c r="I110" s="30" t="inlineStr">
        <is>
          <t>ADB intents</t>
        </is>
      </c>
      <c r="J110" s="30" t="inlineStr">
        <is>
          <t>Semi-automated</t>
        </is>
      </c>
      <c r="K110" s="30" t="inlineStr">
        <is>
          <t>P2</t>
        </is>
      </c>
      <c r="L110" s="30" t="inlineStr">
        <is>
          <t>Medium</t>
        </is>
      </c>
      <c r="M110" s="30" t="inlineStr">
        <is>
          <t>NO</t>
        </is>
      </c>
      <c r="N110" s="30" t="inlineStr">
        <is>
          <t>N/A</t>
        </is>
      </c>
      <c r="O110" s="30" t="str"/>
      <c r="P110" s="30" t="inlineStr">
        <is>
          <t>Out of MVP scope per user decision 2026-09-24: MVP is Windows desktop offline app only (no Android/AI). See work/AUDIT_STATE.json scope_decision.</t>
        </is>
      </c>
      <c r="Q110" s="30" t="str"/>
      <c r="R110" s="30" t="inlineStr">
        <is>
          <t>N/A</t>
        </is>
      </c>
      <c r="S110" s="30" t="str"/>
      <c r="T110" s="31" t="inlineStr">
        <is>
          <t>If feature changes</t>
        </is>
      </c>
    </row>
    <row r="111">
      <c r="A111" s="29" t="inlineStr">
        <is>
          <t>A039</t>
        </is>
      </c>
      <c r="B111" s="30" t="inlineStr">
        <is>
          <t>Android</t>
        </is>
      </c>
      <c r="C111" s="30" t="inlineStr">
        <is>
          <t>12-Android</t>
        </is>
      </c>
      <c r="D111" s="30" t="inlineStr">
        <is>
          <t>Notifications</t>
        </is>
      </c>
      <c r="E111" s="30" t="inlineStr">
        <is>
          <t>Permission/tap</t>
        </is>
      </c>
      <c r="F111" s="30" t="inlineStr">
        <is>
          <t>Allow/deny and tap notification if used</t>
        </is>
      </c>
      <c r="G111" s="30" t="inlineStr">
        <is>
          <t>Test cold/warm states</t>
        </is>
      </c>
      <c r="H111" s="30" t="inlineStr">
        <is>
          <t>No crash; correct destination</t>
        </is>
      </c>
      <c r="I111" s="30" t="inlineStr">
        <is>
          <t>Device/ADB</t>
        </is>
      </c>
      <c r="J111" s="30" t="inlineStr">
        <is>
          <t>Manual</t>
        </is>
      </c>
      <c r="K111" s="30" t="inlineStr">
        <is>
          <t>P2</t>
        </is>
      </c>
      <c r="L111" s="30" t="inlineStr">
        <is>
          <t>Medium</t>
        </is>
      </c>
      <c r="M111" s="30" t="inlineStr">
        <is>
          <t>NO</t>
        </is>
      </c>
      <c r="N111" s="30" t="inlineStr">
        <is>
          <t>N/A</t>
        </is>
      </c>
      <c r="O111" s="30" t="str"/>
      <c r="P111" s="30" t="inlineStr">
        <is>
          <t>Out of MVP scope per user decision 2026-09-24: MVP is Windows desktop offline app only (no Android/AI). See work/AUDIT_STATE.json scope_decision.</t>
        </is>
      </c>
      <c r="Q111" s="30" t="str"/>
      <c r="R111" s="30" t="inlineStr">
        <is>
          <t>N/A</t>
        </is>
      </c>
      <c r="S111" s="30" t="str"/>
      <c r="T111" s="31" t="inlineStr">
        <is>
          <t>If feature changes</t>
        </is>
      </c>
    </row>
    <row r="112">
      <c r="A112" s="29" t="inlineStr">
        <is>
          <t>A040</t>
        </is>
      </c>
      <c r="B112" s="30" t="inlineStr">
        <is>
          <t>Android</t>
        </is>
      </c>
      <c r="C112" s="30" t="inlineStr">
        <is>
          <t>12-Android</t>
        </is>
      </c>
      <c r="D112" s="30" t="inlineStr">
        <is>
          <t>Touch</t>
        </is>
      </c>
      <c r="E112" s="30" t="inlineStr">
        <is>
          <t>Rapid taps</t>
        </is>
      </c>
      <c r="F112" s="30" t="inlineStr">
        <is>
          <t>Rapid CTA/navigation taps</t>
        </is>
      </c>
      <c r="G112" s="30" t="inlineStr">
        <is>
          <t>Tap repeatedly</t>
        </is>
      </c>
      <c r="H112" s="30" t="inlineStr">
        <is>
          <t>No duplicate request/navigation corruption</t>
        </is>
      </c>
      <c r="I112" s="30" t="inlineStr">
        <is>
          <t>Manual</t>
        </is>
      </c>
      <c r="J112" s="30" t="inlineStr">
        <is>
          <t>Manual</t>
        </is>
      </c>
      <c r="K112" s="30" t="inlineStr">
        <is>
          <t>P1</t>
        </is>
      </c>
      <c r="L112" s="30" t="inlineStr">
        <is>
          <t>High</t>
        </is>
      </c>
      <c r="M112" s="30" t="inlineStr">
        <is>
          <t>YES</t>
        </is>
      </c>
      <c r="N112" s="30" t="inlineStr">
        <is>
          <t>N/A</t>
        </is>
      </c>
      <c r="O112" s="30" t="str"/>
      <c r="P112" s="30" t="inlineStr">
        <is>
          <t>Out of MVP scope per user decision 2026-09-24: MVP is Windows desktop offline app only (no Android/AI). See work/AUDIT_STATE.json scope_decision.</t>
        </is>
      </c>
      <c r="Q112" s="30" t="str"/>
      <c r="R112" s="30" t="inlineStr">
        <is>
          <t>N/A</t>
        </is>
      </c>
      <c r="S112" s="30" t="str"/>
      <c r="T112" s="31" t="inlineStr">
        <is>
          <t>Every release</t>
        </is>
      </c>
    </row>
    <row r="113">
      <c r="A113" s="29" t="inlineStr">
        <is>
          <t>AI001</t>
        </is>
      </c>
      <c r="B113" s="30" t="inlineStr">
        <is>
          <t>AI/RAG</t>
        </is>
      </c>
      <c r="C113" s="30" t="inlineStr">
        <is>
          <t>13-AI</t>
        </is>
      </c>
      <c r="D113" s="30" t="inlineStr">
        <is>
          <t>Retrieval</t>
        </is>
      </c>
      <c r="E113" s="30" t="inlineStr">
        <is>
          <t>Known-answer</t>
        </is>
      </c>
      <c r="F113" s="30" t="inlineStr">
        <is>
          <t>Golden questions</t>
        </is>
      </c>
      <c r="G113" s="30" t="inlineStr">
        <is>
          <t>Run queries with known source chunks</t>
        </is>
      </c>
      <c r="H113" s="30" t="inlineStr">
        <is>
          <t>Correct source retrieved for critical queries</t>
        </is>
      </c>
      <c r="I113" s="30" t="inlineStr">
        <is>
          <t>Eval harness</t>
        </is>
      </c>
      <c r="J113" s="30" t="inlineStr">
        <is>
          <t>Automated</t>
        </is>
      </c>
      <c r="K113" s="30" t="inlineStr">
        <is>
          <t>P0</t>
        </is>
      </c>
      <c r="L113" s="30" t="inlineStr">
        <is>
          <t>Critical</t>
        </is>
      </c>
      <c r="M113" s="30" t="inlineStr">
        <is>
          <t>YES</t>
        </is>
      </c>
      <c r="N113" s="30" t="inlineStr">
        <is>
          <t>N/A</t>
        </is>
      </c>
      <c r="O113" s="30" t="str"/>
      <c r="P113" s="30" t="inlineStr">
        <is>
          <t>Out of MVP scope per user decision 2026-09-24: MVP is Windows desktop offline app only (no Android/AI). See work/AUDIT_STATE.json scope_decision.</t>
        </is>
      </c>
      <c r="Q113" s="30" t="str"/>
      <c r="R113" s="30" t="inlineStr">
        <is>
          <t>N/A</t>
        </is>
      </c>
      <c r="S113" s="30" t="str"/>
      <c r="T113" s="31" t="inlineStr">
        <is>
          <t>After model/index change</t>
        </is>
      </c>
    </row>
    <row r="114">
      <c r="A114" s="29" t="inlineStr">
        <is>
          <t>AI002</t>
        </is>
      </c>
      <c r="B114" s="30" t="inlineStr">
        <is>
          <t>AI/RAG</t>
        </is>
      </c>
      <c r="C114" s="30" t="inlineStr">
        <is>
          <t>13-AI</t>
        </is>
      </c>
      <c r="D114" s="30" t="inlineStr">
        <is>
          <t>Retrieval</t>
        </is>
      </c>
      <c r="E114" s="30" t="inlineStr">
        <is>
          <t>Multi-source</t>
        </is>
      </c>
      <c r="F114" s="30" t="inlineStr">
        <is>
          <t>Question requiring 2–3 sources</t>
        </is>
      </c>
      <c r="G114" s="30" t="inlineStr">
        <is>
          <t>Run multi-source query</t>
        </is>
      </c>
      <c r="H114" s="30" t="inlineStr">
        <is>
          <t>Relevant sources combined; conflicts surfaced</t>
        </is>
      </c>
      <c r="I114" s="30" t="inlineStr">
        <is>
          <t>Eval harness</t>
        </is>
      </c>
      <c r="J114" s="30" t="inlineStr">
        <is>
          <t>Semi-automated</t>
        </is>
      </c>
      <c r="K114" s="30" t="inlineStr">
        <is>
          <t>P1</t>
        </is>
      </c>
      <c r="L114" s="30" t="inlineStr">
        <is>
          <t>High</t>
        </is>
      </c>
      <c r="M114" s="30" t="inlineStr">
        <is>
          <t>YES</t>
        </is>
      </c>
      <c r="N114" s="30" t="inlineStr">
        <is>
          <t>N/A</t>
        </is>
      </c>
      <c r="O114" s="30" t="str"/>
      <c r="P114" s="30" t="inlineStr">
        <is>
          <t>Out of MVP scope per user decision 2026-09-24: MVP is Windows desktop offline app only (no Android/AI). See work/AUDIT_STATE.json scope_decision.</t>
        </is>
      </c>
      <c r="Q114" s="30" t="str"/>
      <c r="R114" s="30" t="inlineStr">
        <is>
          <t>N/A</t>
        </is>
      </c>
      <c r="S114" s="30" t="str"/>
      <c r="T114" s="31" t="inlineStr">
        <is>
          <t>After model/index change</t>
        </is>
      </c>
    </row>
    <row r="115">
      <c r="A115" s="29" t="inlineStr">
        <is>
          <t>AI003</t>
        </is>
      </c>
      <c r="B115" s="30" t="inlineStr">
        <is>
          <t>AI/RAG</t>
        </is>
      </c>
      <c r="C115" s="30" t="inlineStr">
        <is>
          <t>13-AI</t>
        </is>
      </c>
      <c r="D115" s="30" t="inlineStr">
        <is>
          <t>Groundedness</t>
        </is>
      </c>
      <c r="E115" s="30" t="inlineStr">
        <is>
          <t>Citation mapping</t>
        </is>
      </c>
      <c r="F115" s="30" t="inlineStr">
        <is>
          <t>Claims vs citations</t>
        </is>
      </c>
      <c r="G115" s="30" t="inlineStr">
        <is>
          <t>Verify each critical claim against cited text</t>
        </is>
      </c>
      <c r="H115" s="30" t="inlineStr">
        <is>
          <t>All critical claims supported</t>
        </is>
      </c>
      <c r="I115" s="30" t="inlineStr">
        <is>
          <t>Reviewer/eval</t>
        </is>
      </c>
      <c r="J115" s="30" t="inlineStr">
        <is>
          <t>Semi-automated</t>
        </is>
      </c>
      <c r="K115" s="30" t="inlineStr">
        <is>
          <t>P0</t>
        </is>
      </c>
      <c r="L115" s="30" t="inlineStr">
        <is>
          <t>Critical</t>
        </is>
      </c>
      <c r="M115" s="30" t="inlineStr">
        <is>
          <t>YES</t>
        </is>
      </c>
      <c r="N115" s="30" t="inlineStr">
        <is>
          <t>N/A</t>
        </is>
      </c>
      <c r="O115" s="30" t="str"/>
      <c r="P115" s="30" t="inlineStr">
        <is>
          <t>Out of MVP scope per user decision 2026-09-24: MVP is Windows desktop offline app only (no Android/AI). See work/AUDIT_STATE.json scope_decision.</t>
        </is>
      </c>
      <c r="Q115" s="30" t="str"/>
      <c r="R115" s="30" t="inlineStr">
        <is>
          <t>N/A</t>
        </is>
      </c>
      <c r="S115" s="30" t="str"/>
      <c r="T115" s="31" t="inlineStr">
        <is>
          <t>After model/index change</t>
        </is>
      </c>
    </row>
    <row r="116">
      <c r="A116" s="29" t="inlineStr">
        <is>
          <t>AI004</t>
        </is>
      </c>
      <c r="B116" s="30" t="inlineStr">
        <is>
          <t>AI/RAG</t>
        </is>
      </c>
      <c r="C116" s="30" t="inlineStr">
        <is>
          <t>13-AI</t>
        </is>
      </c>
      <c r="D116" s="30" t="inlineStr">
        <is>
          <t>Hallucination</t>
        </is>
      </c>
      <c r="E116" s="30" t="inlineStr">
        <is>
          <t>No-answer</t>
        </is>
      </c>
      <c r="F116" s="30" t="inlineStr">
        <is>
          <t>Missing knowledge</t>
        </is>
      </c>
      <c r="G116" s="30" t="inlineStr">
        <is>
          <t>Ask outside KB</t>
        </is>
      </c>
      <c r="H116" s="30" t="inlineStr">
        <is>
          <t>Model abstains/labels uncertainty; no fake citation</t>
        </is>
      </c>
      <c r="I116" s="30" t="inlineStr">
        <is>
          <t>Eval harness</t>
        </is>
      </c>
      <c r="J116" s="30" t="inlineStr">
        <is>
          <t>Automated</t>
        </is>
      </c>
      <c r="K116" s="30" t="inlineStr">
        <is>
          <t>P0</t>
        </is>
      </c>
      <c r="L116" s="30" t="inlineStr">
        <is>
          <t>Critical</t>
        </is>
      </c>
      <c r="M116" s="30" t="inlineStr">
        <is>
          <t>YES</t>
        </is>
      </c>
      <c r="N116" s="30" t="inlineStr">
        <is>
          <t>N/A</t>
        </is>
      </c>
      <c r="O116" s="30" t="str"/>
      <c r="P116" s="30" t="inlineStr">
        <is>
          <t>Out of MVP scope per user decision 2026-09-24: MVP is Windows desktop offline app only (no Android/AI). See work/AUDIT_STATE.json scope_decision.</t>
        </is>
      </c>
      <c r="Q116" s="30" t="str"/>
      <c r="R116" s="30" t="inlineStr">
        <is>
          <t>N/A</t>
        </is>
      </c>
      <c r="S116" s="30" t="str"/>
      <c r="T116" s="31" t="inlineStr">
        <is>
          <t>After model/index change</t>
        </is>
      </c>
    </row>
    <row r="117">
      <c r="A117" s="29" t="inlineStr">
        <is>
          <t>AI005</t>
        </is>
      </c>
      <c r="B117" s="30" t="inlineStr">
        <is>
          <t>AI/RAG</t>
        </is>
      </c>
      <c r="C117" s="30" t="inlineStr">
        <is>
          <t>13-AI</t>
        </is>
      </c>
      <c r="D117" s="30" t="inlineStr">
        <is>
          <t>Security</t>
        </is>
      </c>
      <c r="E117" s="30" t="inlineStr">
        <is>
          <t>Prompt injection</t>
        </is>
      </c>
      <c r="F117" s="30" t="inlineStr">
        <is>
          <t>Hostile retrieved document</t>
        </is>
      </c>
      <c r="G117" s="30" t="inlineStr">
        <is>
          <t>Insert malicious instructions in source chunk</t>
        </is>
      </c>
      <c r="H117" s="30" t="inlineStr">
        <is>
          <t>Model ignores document-level control instructions</t>
        </is>
      </c>
      <c r="I117" s="30" t="inlineStr">
        <is>
          <t>Injection corpus</t>
        </is>
      </c>
      <c r="J117" s="30" t="inlineStr">
        <is>
          <t>Semi-automated</t>
        </is>
      </c>
      <c r="K117" s="30" t="inlineStr">
        <is>
          <t>P0</t>
        </is>
      </c>
      <c r="L117" s="30" t="inlineStr">
        <is>
          <t>Critical</t>
        </is>
      </c>
      <c r="M117" s="30" t="inlineStr">
        <is>
          <t>YES</t>
        </is>
      </c>
      <c r="N117" s="30" t="inlineStr">
        <is>
          <t>N/A</t>
        </is>
      </c>
      <c r="O117" s="30" t="str"/>
      <c r="P117" s="30" t="inlineStr">
        <is>
          <t>Out of MVP scope per user decision 2026-09-24: MVP is Windows desktop offline app only (no Android/AI). See work/AUDIT_STATE.json scope_decision.</t>
        </is>
      </c>
      <c r="Q117" s="30" t="str"/>
      <c r="R117" s="30" t="inlineStr">
        <is>
          <t>N/A</t>
        </is>
      </c>
      <c r="S117" s="30" t="str"/>
      <c r="T117" s="31" t="inlineStr">
        <is>
          <t>Before MVP</t>
        </is>
      </c>
    </row>
    <row r="118">
      <c r="A118" s="29" t="inlineStr">
        <is>
          <t>AI006</t>
        </is>
      </c>
      <c r="B118" s="30" t="inlineStr">
        <is>
          <t>AI/RAG</t>
        </is>
      </c>
      <c r="C118" s="30" t="inlineStr">
        <is>
          <t>13-AI</t>
        </is>
      </c>
      <c r="D118" s="30" t="inlineStr">
        <is>
          <t>Safety</t>
        </is>
      </c>
      <c r="E118" s="30" t="inlineStr">
        <is>
          <t>Conflicting sources</t>
        </is>
      </c>
      <c r="F118" s="30" t="inlineStr">
        <is>
          <t>Source conflict</t>
        </is>
      </c>
      <c r="G118" s="30" t="inlineStr">
        <is>
          <t>Provide two conflicting sources</t>
        </is>
      </c>
      <c r="H118" s="30" t="inlineStr">
        <is>
          <t>Response identifies conflict and limitations</t>
        </is>
      </c>
      <c r="I118" s="30" t="inlineStr">
        <is>
          <t>Eval harness</t>
        </is>
      </c>
      <c r="J118" s="30" t="inlineStr">
        <is>
          <t>Semi-automated</t>
        </is>
      </c>
      <c r="K118" s="30" t="inlineStr">
        <is>
          <t>P1</t>
        </is>
      </c>
      <c r="L118" s="30" t="inlineStr">
        <is>
          <t>High</t>
        </is>
      </c>
      <c r="M118" s="30" t="inlineStr">
        <is>
          <t>YES</t>
        </is>
      </c>
      <c r="N118" s="30" t="inlineStr">
        <is>
          <t>N/A</t>
        </is>
      </c>
      <c r="O118" s="30" t="str"/>
      <c r="P118" s="30" t="inlineStr">
        <is>
          <t>Out of MVP scope per user decision 2026-09-24: MVP is Windows desktop offline app only (no Android/AI). See work/AUDIT_STATE.json scope_decision.</t>
        </is>
      </c>
      <c r="Q118" s="30" t="str"/>
      <c r="R118" s="30" t="inlineStr">
        <is>
          <t>N/A</t>
        </is>
      </c>
      <c r="S118" s="30" t="str"/>
      <c r="T118" s="31" t="inlineStr">
        <is>
          <t>Before MVP</t>
        </is>
      </c>
    </row>
    <row r="119">
      <c r="A119" s="29" t="inlineStr">
        <is>
          <t>AI007</t>
        </is>
      </c>
      <c r="B119" s="30" t="inlineStr">
        <is>
          <t>AI/RAG</t>
        </is>
      </c>
      <c r="C119" s="30" t="inlineStr">
        <is>
          <t>13-AI</t>
        </is>
      </c>
      <c r="D119" s="30" t="inlineStr">
        <is>
          <t>Latency</t>
        </is>
      </c>
      <c r="E119" s="30" t="inlineStr">
        <is>
          <t>Response time</t>
        </is>
      </c>
      <c r="F119" s="30" t="inlineStr">
        <is>
          <t>p50/p95 AI latency</t>
        </is>
      </c>
      <c r="G119" s="30" t="inlineStr">
        <is>
          <t>Run representative requests</t>
        </is>
      </c>
      <c r="H119" s="30" t="inlineStr">
        <is>
          <t>Within UX budget; timeout path works</t>
        </is>
      </c>
      <c r="I119" s="30" t="inlineStr">
        <is>
          <t>Telemetry</t>
        </is>
      </c>
      <c r="J119" s="30" t="inlineStr">
        <is>
          <t>Automated</t>
        </is>
      </c>
      <c r="K119" s="30" t="inlineStr">
        <is>
          <t>P2</t>
        </is>
      </c>
      <c r="L119" s="30" t="inlineStr">
        <is>
          <t>Medium</t>
        </is>
      </c>
      <c r="M119" s="30" t="inlineStr">
        <is>
          <t>NO</t>
        </is>
      </c>
      <c r="N119" s="30" t="inlineStr">
        <is>
          <t>N/A</t>
        </is>
      </c>
      <c r="O119" s="30" t="str"/>
      <c r="P119" s="30" t="inlineStr">
        <is>
          <t>Out of MVP scope per user decision 2026-09-24: MVP is Windows desktop offline app only (no Android/AI). See work/AUDIT_STATE.json scope_decision.</t>
        </is>
      </c>
      <c r="Q119" s="30" t="str"/>
      <c r="R119" s="30" t="inlineStr">
        <is>
          <t>N/A</t>
        </is>
      </c>
      <c r="S119" s="30" t="str"/>
      <c r="T119" s="31" t="inlineStr">
        <is>
          <t>Periodic</t>
        </is>
      </c>
    </row>
    <row r="120">
      <c r="A120" s="29" t="inlineStr">
        <is>
          <t>AI008</t>
        </is>
      </c>
      <c r="B120" s="30" t="inlineStr">
        <is>
          <t>AI/RAG</t>
        </is>
      </c>
      <c r="C120" s="30" t="inlineStr">
        <is>
          <t>13-AI</t>
        </is>
      </c>
      <c r="D120" s="30" t="inlineStr">
        <is>
          <t>Privacy</t>
        </is>
      </c>
      <c r="E120" s="30" t="inlineStr">
        <is>
          <t>Prompt payload</t>
        </is>
      </c>
      <c r="F120" s="30" t="inlineStr">
        <is>
          <t>Outbound AI data</t>
        </is>
      </c>
      <c r="G120" s="30" t="inlineStr">
        <is>
          <t>Inspect request/logs</t>
        </is>
      </c>
      <c r="H120" s="30" t="inlineStr">
        <is>
          <t>Only required data sent; secrets/PII handled</t>
        </is>
      </c>
      <c r="I120" s="30" t="inlineStr">
        <is>
          <t>Proxy/log review</t>
        </is>
      </c>
      <c r="J120" s="30" t="inlineStr">
        <is>
          <t>Manual</t>
        </is>
      </c>
      <c r="K120" s="30" t="inlineStr">
        <is>
          <t>P0</t>
        </is>
      </c>
      <c r="L120" s="30" t="inlineStr">
        <is>
          <t>Critical</t>
        </is>
      </c>
      <c r="M120" s="30" t="inlineStr">
        <is>
          <t>YES</t>
        </is>
      </c>
      <c r="N120" s="30" t="inlineStr">
        <is>
          <t>N/A</t>
        </is>
      </c>
      <c r="O120" s="30" t="str"/>
      <c r="P120" s="30" t="inlineStr">
        <is>
          <t>Out of MVP scope per user decision 2026-09-24: MVP is Windows desktop offline app only (no Android/AI). See work/AUDIT_STATE.json scope_decision.</t>
        </is>
      </c>
      <c r="Q120" s="30" t="str"/>
      <c r="R120" s="30" t="inlineStr">
        <is>
          <t>N/A</t>
        </is>
      </c>
      <c r="S120" s="30" t="str"/>
      <c r="T120" s="31" t="inlineStr">
        <is>
          <t>Before MVP</t>
        </is>
      </c>
    </row>
    <row r="121">
      <c r="A121" s="29" t="inlineStr">
        <is>
          <t>AI009</t>
        </is>
      </c>
      <c r="B121" s="30" t="inlineStr">
        <is>
          <t>AI/RAG</t>
        </is>
      </c>
      <c r="C121" s="30" t="inlineStr">
        <is>
          <t>13-AI</t>
        </is>
      </c>
      <c r="D121" s="30" t="inlineStr">
        <is>
          <t>Rate limits</t>
        </is>
      </c>
      <c r="E121" s="30" t="inlineStr">
        <is>
          <t>429</t>
        </is>
      </c>
      <c r="F121" s="30" t="inlineStr">
        <is>
          <t>Force rate-limit</t>
        </is>
      </c>
      <c r="G121" s="30" t="inlineStr">
        <is>
          <t>Observe fallback/retry</t>
        </is>
      </c>
      <c r="H121" s="30" t="inlineStr">
        <is>
          <t>Controlled UX; no duplicate billing action</t>
        </is>
      </c>
      <c r="I121" s="30" t="inlineStr">
        <is>
          <t>Mock/API</t>
        </is>
      </c>
      <c r="J121" s="30" t="inlineStr">
        <is>
          <t>Semi-automated</t>
        </is>
      </c>
      <c r="K121" s="30" t="inlineStr">
        <is>
          <t>P1</t>
        </is>
      </c>
      <c r="L121" s="30" t="inlineStr">
        <is>
          <t>High</t>
        </is>
      </c>
      <c r="M121" s="30" t="inlineStr">
        <is>
          <t>YES</t>
        </is>
      </c>
      <c r="N121" s="30" t="inlineStr">
        <is>
          <t>N/A</t>
        </is>
      </c>
      <c r="O121" s="30" t="str"/>
      <c r="P121" s="30" t="inlineStr">
        <is>
          <t>Out of MVP scope per user decision 2026-09-24: MVP is Windows desktop offline app only (no Android/AI). See work/AUDIT_STATE.json scope_decision.</t>
        </is>
      </c>
      <c r="Q121" s="30" t="str"/>
      <c r="R121" s="30" t="inlineStr">
        <is>
          <t>N/A</t>
        </is>
      </c>
      <c r="S121" s="30" t="str"/>
      <c r="T121" s="31" t="inlineStr">
        <is>
          <t>Before MVP</t>
        </is>
      </c>
    </row>
    <row r="122">
      <c r="A122" s="29" t="inlineStr">
        <is>
          <t>AI010</t>
        </is>
      </c>
      <c r="B122" s="30" t="inlineStr">
        <is>
          <t>AI/RAG</t>
        </is>
      </c>
      <c r="C122" s="30" t="inlineStr">
        <is>
          <t>13-AI</t>
        </is>
      </c>
      <c r="D122" s="30" t="inlineStr">
        <is>
          <t>Regression</t>
        </is>
      </c>
      <c r="E122" s="30" t="inlineStr">
        <is>
          <t>Golden eval</t>
        </is>
      </c>
      <c r="F122" s="30" t="inlineStr">
        <is>
          <t>Frozen eval suite</t>
        </is>
      </c>
      <c r="G122" s="30" t="inlineStr">
        <is>
          <t>Run after prompt/model/index change</t>
        </is>
      </c>
      <c r="H122" s="30" t="inlineStr">
        <is>
          <t>No critical regression beyond threshold</t>
        </is>
      </c>
      <c r="I122" s="30" t="inlineStr">
        <is>
          <t>Eval harness</t>
        </is>
      </c>
      <c r="J122" s="30" t="inlineStr">
        <is>
          <t>Automated</t>
        </is>
      </c>
      <c r="K122" s="30" t="inlineStr">
        <is>
          <t>P1</t>
        </is>
      </c>
      <c r="L122" s="30" t="inlineStr">
        <is>
          <t>High</t>
        </is>
      </c>
      <c r="M122" s="30" t="inlineStr">
        <is>
          <t>YES</t>
        </is>
      </c>
      <c r="N122" s="30" t="inlineStr">
        <is>
          <t>N/A</t>
        </is>
      </c>
      <c r="O122" s="30" t="str"/>
      <c r="P122" s="30" t="inlineStr">
        <is>
          <t>Out of MVP scope per user decision 2026-09-24: MVP is Windows desktop offline app only (no Android/AI). See work/AUDIT_STATE.json scope_decision.</t>
        </is>
      </c>
      <c r="Q122" s="30" t="str"/>
      <c r="R122" s="30" t="inlineStr">
        <is>
          <t>N/A</t>
        </is>
      </c>
      <c r="S122" s="30" t="str"/>
      <c r="T122" s="31" t="inlineStr">
        <is>
          <t>After model/index change</t>
        </is>
      </c>
    </row>
    <row r="123">
      <c r="A123" s="29" t="inlineStr">
        <is>
          <t>R001</t>
        </is>
      </c>
      <c r="B123" s="30" t="inlineStr">
        <is>
          <t>Release</t>
        </is>
      </c>
      <c r="C123" s="30" t="inlineStr">
        <is>
          <t>14-UAT</t>
        </is>
      </c>
      <c r="D123" s="30" t="inlineStr">
        <is>
          <t>UAT</t>
        </is>
      </c>
      <c r="E123" s="30" t="inlineStr">
        <is>
          <t>First-use</t>
        </is>
      </c>
      <c r="F123" s="30" t="inlineStr">
        <is>
          <t>New user primary task</t>
        </is>
      </c>
      <c r="G123" s="30" t="inlineStr">
        <is>
          <t>Observe 3–10 users without coaching</t>
        </is>
      </c>
      <c r="H123" s="30" t="inlineStr">
        <is>
          <t>≥90% complete critical task; no P0/P1 blocker</t>
        </is>
      </c>
      <c r="I123" s="30" t="inlineStr">
        <is>
          <t>Moderated UAT</t>
        </is>
      </c>
      <c r="J123" s="30" t="inlineStr">
        <is>
          <t>Manual</t>
        </is>
      </c>
      <c r="K123" s="30" t="inlineStr">
        <is>
          <t>P0</t>
        </is>
      </c>
      <c r="L123" s="30" t="inlineStr">
        <is>
          <t>Critical</t>
        </is>
      </c>
      <c r="M123" s="30" t="inlineStr">
        <is>
          <t>YES</t>
        </is>
      </c>
      <c r="N123" s="30" t="inlineStr">
        <is>
          <t>NOT STARTED</t>
        </is>
      </c>
      <c r="O123" s="30" t="str"/>
      <c r="P123" s="30" t="str"/>
      <c r="Q123" s="30" t="str"/>
      <c r="R123" s="30" t="inlineStr">
        <is>
          <t>NOT TESTED</t>
        </is>
      </c>
      <c r="S123" s="30" t="str"/>
      <c r="T123" s="31" t="inlineStr">
        <is>
          <t>One-time before launch</t>
        </is>
      </c>
    </row>
    <row r="124">
      <c r="A124" s="29" t="inlineStr">
        <is>
          <t>R002</t>
        </is>
      </c>
      <c r="B124" s="30" t="inlineStr">
        <is>
          <t>Release</t>
        </is>
      </c>
      <c r="C124" s="30" t="inlineStr">
        <is>
          <t>14-UAT</t>
        </is>
      </c>
      <c r="D124" s="30" t="inlineStr">
        <is>
          <t>UAT</t>
        </is>
      </c>
      <c r="E124" s="30" t="inlineStr">
        <is>
          <t>Error recovery</t>
        </is>
      </c>
      <c r="F124" s="30" t="inlineStr">
        <is>
          <t>Seeded recoverable error</t>
        </is>
      </c>
      <c r="G124" s="30" t="inlineStr">
        <is>
          <t>Observe user response</t>
        </is>
      </c>
      <c r="H124" s="30" t="inlineStr">
        <is>
          <t>User understands and recovers without external help</t>
        </is>
      </c>
      <c r="I124" s="30" t="inlineStr">
        <is>
          <t>Moderated UAT</t>
        </is>
      </c>
      <c r="J124" s="30" t="inlineStr">
        <is>
          <t>Manual</t>
        </is>
      </c>
      <c r="K124" s="30" t="inlineStr">
        <is>
          <t>P1</t>
        </is>
      </c>
      <c r="L124" s="30" t="inlineStr">
        <is>
          <t>High</t>
        </is>
      </c>
      <c r="M124" s="30" t="inlineStr">
        <is>
          <t>YES</t>
        </is>
      </c>
      <c r="N124" s="30" t="inlineStr">
        <is>
          <t>NOT STARTED</t>
        </is>
      </c>
      <c r="O124" s="30" t="str"/>
      <c r="P124" s="30" t="str"/>
      <c r="Q124" s="30" t="str"/>
      <c r="R124" s="30" t="inlineStr">
        <is>
          <t>NOT TESTED</t>
        </is>
      </c>
      <c r="S124" s="30" t="str"/>
      <c r="T124" s="31" t="inlineStr">
        <is>
          <t>One-time before launch</t>
        </is>
      </c>
    </row>
    <row r="125">
      <c r="A125" s="29" t="inlineStr">
        <is>
          <t>R003</t>
        </is>
      </c>
      <c r="B125" s="30" t="inlineStr">
        <is>
          <t>Release</t>
        </is>
      </c>
      <c r="C125" s="30" t="inlineStr">
        <is>
          <t>15-Release</t>
        </is>
      </c>
      <c r="D125" s="30" t="inlineStr">
        <is>
          <t>Release readiness</t>
        </is>
      </c>
      <c r="E125" s="30" t="inlineStr">
        <is>
          <t>P0 defects</t>
        </is>
      </c>
      <c r="F125" s="30" t="inlineStr">
        <is>
          <t>Open P0 review</t>
        </is>
      </c>
      <c r="G125" s="30" t="inlineStr">
        <is>
          <t>Review defect register</t>
        </is>
      </c>
      <c r="H125" s="30" t="inlineStr">
        <is>
          <t>0 open P0 defects</t>
        </is>
      </c>
      <c r="I125" s="30" t="inlineStr">
        <is>
          <t>Defect tracker</t>
        </is>
      </c>
      <c r="J125" s="30" t="inlineStr">
        <is>
          <t>Manual</t>
        </is>
      </c>
      <c r="K125" s="30" t="inlineStr">
        <is>
          <t>P0</t>
        </is>
      </c>
      <c r="L125" s="30" t="inlineStr">
        <is>
          <t>Critical</t>
        </is>
      </c>
      <c r="M125" s="30" t="inlineStr">
        <is>
          <t>YES</t>
        </is>
      </c>
      <c r="N125" s="30" t="inlineStr">
        <is>
          <t>NOT STARTED</t>
        </is>
      </c>
      <c r="O125" s="30" t="str"/>
      <c r="P125" s="30" t="str"/>
      <c r="Q125" s="30" t="str"/>
      <c r="R125" s="30" t="inlineStr">
        <is>
          <t>NOT TESTED</t>
        </is>
      </c>
      <c r="S125" s="30" t="str"/>
      <c r="T125" s="31" t="inlineStr">
        <is>
          <t>Every release</t>
        </is>
      </c>
    </row>
    <row r="126">
      <c r="A126" s="29" t="inlineStr">
        <is>
          <t>R004</t>
        </is>
      </c>
      <c r="B126" s="30" t="inlineStr">
        <is>
          <t>Release</t>
        </is>
      </c>
      <c r="C126" s="30" t="inlineStr">
        <is>
          <t>15-Release</t>
        </is>
      </c>
      <c r="D126" s="30" t="inlineStr">
        <is>
          <t>Release readiness</t>
        </is>
      </c>
      <c r="E126" s="30" t="inlineStr">
        <is>
          <t>P1 defects</t>
        </is>
      </c>
      <c r="F126" s="30" t="inlineStr">
        <is>
          <t>Open P1 review</t>
        </is>
      </c>
      <c r="G126" s="30" t="inlineStr">
        <is>
          <t>Review defect register</t>
        </is>
      </c>
      <c r="H126" s="30" t="inlineStr">
        <is>
          <t>0 open P1 in MVP-critical scope</t>
        </is>
      </c>
      <c r="I126" s="30" t="inlineStr">
        <is>
          <t>Defect tracker</t>
        </is>
      </c>
      <c r="J126" s="30" t="inlineStr">
        <is>
          <t>Manual</t>
        </is>
      </c>
      <c r="K126" s="30" t="inlineStr">
        <is>
          <t>P0</t>
        </is>
      </c>
      <c r="L126" s="30" t="inlineStr">
        <is>
          <t>Critical</t>
        </is>
      </c>
      <c r="M126" s="30" t="inlineStr">
        <is>
          <t>YES</t>
        </is>
      </c>
      <c r="N126" s="30" t="inlineStr">
        <is>
          <t>NOT STARTED</t>
        </is>
      </c>
      <c r="O126" s="30" t="str"/>
      <c r="P126" s="30" t="str"/>
      <c r="Q126" s="30" t="str"/>
      <c r="R126" s="30" t="inlineStr">
        <is>
          <t>NOT TESTED</t>
        </is>
      </c>
      <c r="S126" s="30" t="str"/>
      <c r="T126" s="31" t="inlineStr">
        <is>
          <t>Every release</t>
        </is>
      </c>
    </row>
    <row r="127">
      <c r="A127" s="29" t="inlineStr">
        <is>
          <t>R005</t>
        </is>
      </c>
      <c r="B127" s="30" t="inlineStr">
        <is>
          <t>Release</t>
        </is>
      </c>
      <c r="C127" s="30" t="inlineStr">
        <is>
          <t>15-Release</t>
        </is>
      </c>
      <c r="D127" s="30" t="inlineStr">
        <is>
          <t>Release readiness</t>
        </is>
      </c>
      <c r="E127" s="30" t="inlineStr">
        <is>
          <t>Evidence</t>
        </is>
      </c>
      <c r="F127" s="30" t="inlineStr">
        <is>
          <t>Blocking gate evidence</t>
        </is>
      </c>
      <c r="G127" s="30" t="inlineStr">
        <is>
          <t>Verify reports/evidence</t>
        </is>
      </c>
      <c r="H127" s="30" t="inlineStr">
        <is>
          <t>Every blocking gate has evidence/owner</t>
        </is>
      </c>
      <c r="I127" s="30" t="inlineStr">
        <is>
          <t>Checklist</t>
        </is>
      </c>
      <c r="J127" s="30" t="inlineStr">
        <is>
          <t>Manual</t>
        </is>
      </c>
      <c r="K127" s="30" t="inlineStr">
        <is>
          <t>P1</t>
        </is>
      </c>
      <c r="L127" s="30" t="inlineStr">
        <is>
          <t>High</t>
        </is>
      </c>
      <c r="M127" s="30" t="inlineStr">
        <is>
          <t>YES</t>
        </is>
      </c>
      <c r="N127" s="30" t="inlineStr">
        <is>
          <t>NOT STARTED</t>
        </is>
      </c>
      <c r="O127" s="30" t="str"/>
      <c r="P127" s="30" t="str"/>
      <c r="Q127" s="30" t="str"/>
      <c r="R127" s="30" t="inlineStr">
        <is>
          <t>NOT TESTED</t>
        </is>
      </c>
      <c r="S127" s="30" t="str"/>
      <c r="T127" s="31" t="inlineStr">
        <is>
          <t>Every release</t>
        </is>
      </c>
    </row>
    <row r="128">
      <c r="A128" s="29" t="inlineStr">
        <is>
          <t>R006</t>
        </is>
      </c>
      <c r="B128" s="30" t="inlineStr">
        <is>
          <t>Release</t>
        </is>
      </c>
      <c r="C128" s="30" t="inlineStr">
        <is>
          <t>15-Release</t>
        </is>
      </c>
      <c r="D128" s="30" t="inlineStr">
        <is>
          <t>Release readiness</t>
        </is>
      </c>
      <c r="E128" s="30" t="inlineStr">
        <is>
          <t>Rollback/recovery</t>
        </is>
      </c>
      <c r="F128" s="30" t="inlineStr">
        <is>
          <t>Bad release plan</t>
        </is>
      </c>
      <c r="G128" s="30" t="inlineStr">
        <is>
          <t>Document and simulate rollback/recovery</t>
        </is>
      </c>
      <c r="H128" s="30" t="inlineStr">
        <is>
          <t>Plan actionable and tested/simulated</t>
        </is>
      </c>
      <c r="I128" s="30" t="inlineStr">
        <is>
          <t>Release runbook</t>
        </is>
      </c>
      <c r="J128" s="30" t="inlineStr">
        <is>
          <t>Manual</t>
        </is>
      </c>
      <c r="K128" s="30" t="inlineStr">
        <is>
          <t>P1</t>
        </is>
      </c>
      <c r="L128" s="30" t="inlineStr">
        <is>
          <t>High</t>
        </is>
      </c>
      <c r="M128" s="30" t="inlineStr">
        <is>
          <t>YES</t>
        </is>
      </c>
      <c r="N128" s="30" t="inlineStr">
        <is>
          <t>NOT STARTED</t>
        </is>
      </c>
      <c r="O128" s="30" t="str"/>
      <c r="P128" s="30" t="str"/>
      <c r="Q128" s="30" t="str"/>
      <c r="R128" s="30" t="inlineStr">
        <is>
          <t>NOT TESTED</t>
        </is>
      </c>
      <c r="S128" s="30" t="str"/>
      <c r="T128" s="31" t="inlineStr">
        <is>
          <t>Every release</t>
        </is>
      </c>
    </row>
    <row r="129">
      <c r="A129" s="32" t="inlineStr">
        <is>
          <t>R007</t>
        </is>
      </c>
      <c r="B129" s="33" t="inlineStr">
        <is>
          <t>Release</t>
        </is>
      </c>
      <c r="C129" s="33" t="inlineStr">
        <is>
          <t>15-Release</t>
        </is>
      </c>
      <c r="D129" s="33" t="inlineStr">
        <is>
          <t>Release readiness</t>
        </is>
      </c>
      <c r="E129" s="33" t="inlineStr">
        <is>
          <t>Final smoke</t>
        </is>
      </c>
      <c r="F129" s="33" t="inlineStr">
        <is>
          <t>Release candidate smoke</t>
        </is>
      </c>
      <c r="G129" s="33" t="inlineStr">
        <is>
          <t>Install RC and run 10-minute smoke</t>
        </is>
      </c>
      <c r="H129" s="33" t="inlineStr">
        <is>
          <t>All smoke tests pass on target platforms</t>
        </is>
      </c>
      <c r="I129" s="33" t="inlineStr">
        <is>
          <t>Smoke suite</t>
        </is>
      </c>
      <c r="J129" s="33" t="inlineStr">
        <is>
          <t>Semi-automated</t>
        </is>
      </c>
      <c r="K129" s="33" t="inlineStr">
        <is>
          <t>P0</t>
        </is>
      </c>
      <c r="L129" s="33" t="inlineStr">
        <is>
          <t>Critical</t>
        </is>
      </c>
      <c r="M129" s="33" t="inlineStr">
        <is>
          <t>YES</t>
        </is>
      </c>
      <c r="N129" s="33" t="inlineStr">
        <is>
          <t>NOT STARTED</t>
        </is>
      </c>
      <c r="O129" s="33" t="str"/>
      <c r="P129" s="33" t="str"/>
      <c r="Q129" s="33" t="str"/>
      <c r="R129" s="33" t="inlineStr">
        <is>
          <t>NOT TESTED</t>
        </is>
      </c>
      <c r="S129" s="33" t="str"/>
      <c r="T129" s="34" t="inlineStr">
        <is>
          <t>Every release</t>
        </is>
      </c>
    </row>
  </sheetData>
  <mergeCells count="1">
    <mergeCell ref="A1:T1"/>
  </mergeCells>
  <conditionalFormatting sqref="N3:N129">
    <cfRule type="expression" priority="1" dxfId="0">
      <formula>N3="PASS"</formula>
    </cfRule>
    <cfRule type="expression" priority="2" dxfId="1">
      <formula>N3="FAIL"</formula>
    </cfRule>
    <cfRule type="expression" priority="3" dxfId="2">
      <formula>N3="BLOCKED"</formula>
    </cfRule>
  </conditionalFormatting>
  <conditionalFormatting sqref="K3:K129">
    <cfRule type="expression" priority="4" dxfId="3">
      <formula>K3="P0"</formula>
    </cfRule>
    <cfRule type="expression" priority="5" dxfId="4">
      <formula>K3="P1"</formula>
    </cfRule>
  </conditionalFormatting>
  <conditionalFormatting sqref="M3:M129">
    <cfRule type="expression" priority="6" dxfId="5">
      <formula>M3="YES"</formula>
    </cfRule>
  </conditionalFormatting>
  <dataValidations count="9">
    <dataValidation sqref="B3:B129" showDropDown="0" showInputMessage="0" showErrorMessage="0" allowBlank="0" type="list">
      <formula1>Lists!$G$2:$G$7</formula1>
    </dataValidation>
    <dataValidation sqref="J3:J129" showDropDown="0" showInputMessage="0" showErrorMessage="0" allowBlank="0" type="list">
      <formula1>Lists!$D$2:$D$4</formula1>
    </dataValidation>
    <dataValidation sqref="K3:K129" showDropDown="0" showInputMessage="0" showErrorMessage="0" allowBlank="0" type="list">
      <formula1>Lists!$B$2:$B$5</formula1>
    </dataValidation>
    <dataValidation sqref="L3:L129" showDropDown="0" showInputMessage="0" showErrorMessage="0" allowBlank="0" type="list">
      <formula1>Lists!$C$2:$C$5</formula1>
    </dataValidation>
    <dataValidation sqref="M3:M129" showDropDown="0" showInputMessage="0" showErrorMessage="0" allowBlank="0" type="list">
      <formula1>Lists!$E$2:$E$3</formula1>
    </dataValidation>
    <dataValidation sqref="N3:N129" showDropDown="0" showInputMessage="0" showErrorMessage="0" allowBlank="0" type="list">
      <formula1>Lists!$A$2:$A$7</formula1>
    </dataValidation>
    <dataValidation sqref="R3:R129" showDropDown="0" showInputMessage="0" showErrorMessage="0" allowBlank="0" type="list">
      <formula1>Lists!$F$2:$F$5</formula1>
    </dataValidation>
    <dataValidation sqref="T3:T129" showDropDown="0" showInputMessage="0" showErrorMessage="0" allowBlank="0" type="list">
      <formula1>Lists!$H$2:$H$7</formula1>
    </dataValidation>
    <dataValidation sqref="T3:T500" showDropDown="0" showInputMessage="0" showErrorMessage="0" allowBlank="0" type="list">
      <formula1>Lists!$H$2:$H$10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12" customWidth="1" style="16" min="1" max="1"/>
    <col width="10" customWidth="1" style="16" min="2" max="2"/>
    <col width="14" customWidth="1" style="16" min="3" max="3"/>
    <col width="28" customWidth="1" style="16" min="4" max="4"/>
    <col width="50" customWidth="1" style="16" min="5" max="5"/>
    <col width="35" customWidth="1" style="16" min="6" max="6"/>
    <col width="35" customWidth="1" style="16" min="7" max="7"/>
    <col width="14" customWidth="1" style="16" min="8" max="8"/>
    <col width="10" customWidth="1" style="16" min="9" max="9"/>
    <col width="16" customWidth="1" style="16" min="10" max="10"/>
    <col width="16" customWidth="1" style="16" min="11" max="11"/>
    <col width="14" customWidth="1" style="16" min="12" max="12"/>
    <col width="14" customWidth="1" style="16" min="13" max="13"/>
    <col width="14" customWidth="1" style="16" min="14" max="14"/>
    <col width="14" customWidth="1" style="16" min="15" max="15"/>
    <col width="28" customWidth="1" style="16" min="16" max="16"/>
    <col width="30" customWidth="1" style="16" min="17" max="17"/>
    <col width="16" customWidth="1" style="16" min="18" max="18"/>
  </cols>
  <sheetData>
    <row r="1">
      <c r="A1" s="154" t="inlineStr">
        <is>
          <t>Defect Register — баги, блокери та ретест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</row>
    <row r="2">
      <c r="A2" s="6" t="inlineStr">
        <is>
          <t>Defect ID</t>
        </is>
      </c>
      <c r="B2" s="6" t="inlineStr">
        <is>
          <t>Test ID</t>
        </is>
      </c>
      <c r="C2" s="6" t="inlineStr">
        <is>
          <t>Platform</t>
        </is>
      </c>
      <c r="D2" s="6" t="inlineStr">
        <is>
          <t>Title</t>
        </is>
      </c>
      <c r="E2" s="6" t="inlineStr">
        <is>
          <t>Steps to reproduce</t>
        </is>
      </c>
      <c r="F2" s="6" t="inlineStr">
        <is>
          <t>Expected</t>
        </is>
      </c>
      <c r="G2" s="6" t="inlineStr">
        <is>
          <t>Actual</t>
        </is>
      </c>
      <c r="H2" s="6" t="inlineStr">
        <is>
          <t>Severity</t>
        </is>
      </c>
      <c r="I2" s="6" t="inlineStr">
        <is>
          <t>Priority</t>
        </is>
      </c>
      <c r="J2" s="6" t="inlineStr">
        <is>
          <t>Reproducibility</t>
        </is>
      </c>
      <c r="K2" s="6" t="inlineStr">
        <is>
          <t>Status</t>
        </is>
      </c>
      <c r="L2" s="6" t="inlineStr">
        <is>
          <t>Owner</t>
        </is>
      </c>
      <c r="M2" s="6" t="inlineStr">
        <is>
          <t>Found Build</t>
        </is>
      </c>
      <c r="N2" s="6" t="inlineStr">
        <is>
          <t>Fixed Build</t>
        </is>
      </c>
      <c r="O2" s="6" t="inlineStr">
        <is>
          <t>Retest</t>
        </is>
      </c>
      <c r="P2" s="6" t="inlineStr">
        <is>
          <t>Evidence</t>
        </is>
      </c>
      <c r="Q2" s="6" t="inlineStr">
        <is>
          <t>Notes</t>
        </is>
      </c>
      <c r="R2" s="30" t="inlineStr">
        <is>
          <t>Release Blocker</t>
        </is>
      </c>
    </row>
    <row r="3">
      <c r="A3" s="55" t="str"/>
      <c r="B3" s="56" t="str"/>
      <c r="C3" s="56" t="str"/>
      <c r="D3" s="56" t="str"/>
      <c r="E3" s="56" t="str"/>
      <c r="F3" s="56" t="str"/>
      <c r="G3" s="56" t="str"/>
      <c r="H3" s="56" t="str"/>
      <c r="I3" s="56" t="str"/>
      <c r="J3" s="56" t="str"/>
      <c r="K3" s="56" t="inlineStr">
        <is>
          <t>OPEN</t>
        </is>
      </c>
      <c r="L3" s="56" t="str"/>
      <c r="M3" s="56" t="str"/>
      <c r="N3" s="56" t="str"/>
      <c r="O3" s="56" t="inlineStr">
        <is>
          <t>NOT TESTED</t>
        </is>
      </c>
      <c r="P3" s="56" t="str"/>
      <c r="Q3" s="57" t="str"/>
      <c r="R3" s="30" t="inlineStr">
        <is>
          <t>NO</t>
        </is>
      </c>
    </row>
    <row r="4">
      <c r="A4" s="29" t="str"/>
      <c r="B4" s="30" t="str"/>
      <c r="C4" s="30" t="str"/>
      <c r="D4" s="30" t="str"/>
      <c r="E4" s="30" t="str"/>
      <c r="F4" s="30" t="str"/>
      <c r="G4" s="30" t="str"/>
      <c r="H4" s="30" t="str"/>
      <c r="I4" s="30" t="str"/>
      <c r="J4" s="30" t="str"/>
      <c r="K4" s="30" t="inlineStr">
        <is>
          <t>OPEN</t>
        </is>
      </c>
      <c r="L4" s="30" t="str"/>
      <c r="M4" s="30" t="str"/>
      <c r="N4" s="30" t="str"/>
      <c r="O4" s="30" t="inlineStr">
        <is>
          <t>NOT TESTED</t>
        </is>
      </c>
      <c r="P4" s="30" t="str"/>
      <c r="Q4" s="31" t="str"/>
      <c r="R4" s="30" t="inlineStr">
        <is>
          <t>NO</t>
        </is>
      </c>
    </row>
    <row r="5">
      <c r="A5" s="29" t="str"/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  <c r="K5" s="30" t="inlineStr">
        <is>
          <t>OPEN</t>
        </is>
      </c>
      <c r="L5" s="30" t="str"/>
      <c r="M5" s="30" t="str"/>
      <c r="N5" s="30" t="str"/>
      <c r="O5" s="30" t="inlineStr">
        <is>
          <t>NOT TESTED</t>
        </is>
      </c>
      <c r="P5" s="30" t="str"/>
      <c r="Q5" s="31" t="str"/>
      <c r="R5" s="30" t="inlineStr">
        <is>
          <t>NO</t>
        </is>
      </c>
    </row>
    <row r="6">
      <c r="A6" s="29" t="str"/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  <c r="K6" s="30" t="inlineStr">
        <is>
          <t>OPEN</t>
        </is>
      </c>
      <c r="L6" s="30" t="str"/>
      <c r="M6" s="30" t="str"/>
      <c r="N6" s="30" t="str"/>
      <c r="O6" s="30" t="inlineStr">
        <is>
          <t>NOT TESTED</t>
        </is>
      </c>
      <c r="P6" s="30" t="str"/>
      <c r="Q6" s="31" t="str"/>
      <c r="R6" s="30" t="inlineStr">
        <is>
          <t>NO</t>
        </is>
      </c>
    </row>
    <row r="7">
      <c r="A7" s="29" t="str"/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  <c r="K7" s="30" t="inlineStr">
        <is>
          <t>OPEN</t>
        </is>
      </c>
      <c r="L7" s="30" t="str"/>
      <c r="M7" s="30" t="str"/>
      <c r="N7" s="30" t="str"/>
      <c r="O7" s="30" t="inlineStr">
        <is>
          <t>NOT TESTED</t>
        </is>
      </c>
      <c r="P7" s="30" t="str"/>
      <c r="Q7" s="31" t="str"/>
      <c r="R7" s="30" t="inlineStr">
        <is>
          <t>NO</t>
        </is>
      </c>
    </row>
    <row r="8">
      <c r="A8" s="29" t="str"/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  <c r="K8" s="30" t="inlineStr">
        <is>
          <t>OPEN</t>
        </is>
      </c>
      <c r="L8" s="30" t="str"/>
      <c r="M8" s="30" t="str"/>
      <c r="N8" s="30" t="str"/>
      <c r="O8" s="30" t="inlineStr">
        <is>
          <t>NOT TESTED</t>
        </is>
      </c>
      <c r="P8" s="30" t="str"/>
      <c r="Q8" s="31" t="str"/>
      <c r="R8" s="30" t="inlineStr">
        <is>
          <t>NO</t>
        </is>
      </c>
    </row>
    <row r="9">
      <c r="A9" s="29" t="str"/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  <c r="K9" s="30" t="inlineStr">
        <is>
          <t>OPEN</t>
        </is>
      </c>
      <c r="L9" s="30" t="str"/>
      <c r="M9" s="30" t="str"/>
      <c r="N9" s="30" t="str"/>
      <c r="O9" s="30" t="inlineStr">
        <is>
          <t>NOT TESTED</t>
        </is>
      </c>
      <c r="P9" s="30" t="str"/>
      <c r="Q9" s="31" t="str"/>
      <c r="R9" s="30" t="inlineStr">
        <is>
          <t>NO</t>
        </is>
      </c>
    </row>
    <row r="10">
      <c r="A10" s="29" t="str"/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  <c r="K10" s="30" t="inlineStr">
        <is>
          <t>OPEN</t>
        </is>
      </c>
      <c r="L10" s="30" t="str"/>
      <c r="M10" s="30" t="str"/>
      <c r="N10" s="30" t="str"/>
      <c r="O10" s="30" t="inlineStr">
        <is>
          <t>NOT TESTED</t>
        </is>
      </c>
      <c r="P10" s="30" t="str"/>
      <c r="Q10" s="31" t="str"/>
      <c r="R10" s="30" t="inlineStr">
        <is>
          <t>NO</t>
        </is>
      </c>
    </row>
    <row r="11">
      <c r="A11" s="29" t="str"/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  <c r="K11" s="30" t="inlineStr">
        <is>
          <t>OPEN</t>
        </is>
      </c>
      <c r="L11" s="30" t="str"/>
      <c r="M11" s="30" t="str"/>
      <c r="N11" s="30" t="str"/>
      <c r="O11" s="30" t="inlineStr">
        <is>
          <t>NOT TESTED</t>
        </is>
      </c>
      <c r="P11" s="30" t="str"/>
      <c r="Q11" s="31" t="str"/>
      <c r="R11" s="30" t="inlineStr">
        <is>
          <t>NO</t>
        </is>
      </c>
    </row>
    <row r="12">
      <c r="A12" s="29" t="str"/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  <c r="K12" s="30" t="inlineStr">
        <is>
          <t>OPEN</t>
        </is>
      </c>
      <c r="L12" s="30" t="str"/>
      <c r="M12" s="30" t="str"/>
      <c r="N12" s="30" t="str"/>
      <c r="O12" s="30" t="inlineStr">
        <is>
          <t>NOT TESTED</t>
        </is>
      </c>
      <c r="P12" s="30" t="str"/>
      <c r="Q12" s="31" t="str"/>
      <c r="R12" s="30" t="inlineStr">
        <is>
          <t>NO</t>
        </is>
      </c>
    </row>
    <row r="13">
      <c r="A13" s="29" t="str"/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  <c r="K13" s="30" t="inlineStr">
        <is>
          <t>OPEN</t>
        </is>
      </c>
      <c r="L13" s="30" t="str"/>
      <c r="M13" s="30" t="str"/>
      <c r="N13" s="30" t="str"/>
      <c r="O13" s="30" t="inlineStr">
        <is>
          <t>NOT TESTED</t>
        </is>
      </c>
      <c r="P13" s="30" t="str"/>
      <c r="Q13" s="31" t="str"/>
      <c r="R13" s="30" t="inlineStr">
        <is>
          <t>NO</t>
        </is>
      </c>
    </row>
    <row r="14">
      <c r="A14" s="29" t="str"/>
      <c r="B14" s="30" t="str"/>
      <c r="C14" s="30" t="str"/>
      <c r="D14" s="30" t="str"/>
      <c r="E14" s="30" t="str"/>
      <c r="F14" s="30" t="str"/>
      <c r="G14" s="30" t="str"/>
      <c r="H14" s="30" t="str"/>
      <c r="I14" s="30" t="str"/>
      <c r="J14" s="30" t="str"/>
      <c r="K14" s="30" t="inlineStr">
        <is>
          <t>OPEN</t>
        </is>
      </c>
      <c r="L14" s="30" t="str"/>
      <c r="M14" s="30" t="str"/>
      <c r="N14" s="30" t="str"/>
      <c r="O14" s="30" t="inlineStr">
        <is>
          <t>NOT TESTED</t>
        </is>
      </c>
      <c r="P14" s="30" t="str"/>
      <c r="Q14" s="31" t="str"/>
      <c r="R14" s="30" t="inlineStr">
        <is>
          <t>NO</t>
        </is>
      </c>
    </row>
    <row r="15">
      <c r="A15" s="29" t="str"/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 t="str"/>
      <c r="K15" s="30" t="inlineStr">
        <is>
          <t>OPEN</t>
        </is>
      </c>
      <c r="L15" s="30" t="str"/>
      <c r="M15" s="30" t="str"/>
      <c r="N15" s="30" t="str"/>
      <c r="O15" s="30" t="inlineStr">
        <is>
          <t>NOT TESTED</t>
        </is>
      </c>
      <c r="P15" s="30" t="str"/>
      <c r="Q15" s="31" t="str"/>
      <c r="R15" s="30" t="inlineStr">
        <is>
          <t>NO</t>
        </is>
      </c>
    </row>
    <row r="16">
      <c r="A16" s="29" t="str"/>
      <c r="B16" s="30" t="str"/>
      <c r="C16" s="30" t="str"/>
      <c r="D16" s="30" t="str"/>
      <c r="E16" s="30" t="str"/>
      <c r="F16" s="30" t="str"/>
      <c r="G16" s="30" t="str"/>
      <c r="H16" s="30" t="str"/>
      <c r="I16" s="30" t="str"/>
      <c r="J16" s="30" t="str"/>
      <c r="K16" s="30" t="inlineStr">
        <is>
          <t>OPEN</t>
        </is>
      </c>
      <c r="L16" s="30" t="str"/>
      <c r="M16" s="30" t="str"/>
      <c r="N16" s="30" t="str"/>
      <c r="O16" s="30" t="inlineStr">
        <is>
          <t>NOT TESTED</t>
        </is>
      </c>
      <c r="P16" s="30" t="str"/>
      <c r="Q16" s="31" t="str"/>
      <c r="R16" s="30" t="inlineStr">
        <is>
          <t>NO</t>
        </is>
      </c>
    </row>
    <row r="17">
      <c r="A17" s="29" t="str"/>
      <c r="B17" s="30" t="str"/>
      <c r="C17" s="30" t="str"/>
      <c r="D17" s="30" t="str"/>
      <c r="E17" s="30" t="str"/>
      <c r="F17" s="30" t="str"/>
      <c r="G17" s="30" t="str"/>
      <c r="H17" s="30" t="str"/>
      <c r="I17" s="30" t="str"/>
      <c r="J17" s="30" t="str"/>
      <c r="K17" s="30" t="inlineStr">
        <is>
          <t>OPEN</t>
        </is>
      </c>
      <c r="L17" s="30" t="str"/>
      <c r="M17" s="30" t="str"/>
      <c r="N17" s="30" t="str"/>
      <c r="O17" s="30" t="inlineStr">
        <is>
          <t>NOT TESTED</t>
        </is>
      </c>
      <c r="P17" s="30" t="str"/>
      <c r="Q17" s="31" t="str"/>
      <c r="R17" s="30" t="inlineStr">
        <is>
          <t>NO</t>
        </is>
      </c>
    </row>
    <row r="18">
      <c r="A18" s="29" t="str"/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  <c r="K18" s="30" t="inlineStr">
        <is>
          <t>OPEN</t>
        </is>
      </c>
      <c r="L18" s="30" t="str"/>
      <c r="M18" s="30" t="str"/>
      <c r="N18" s="30" t="str"/>
      <c r="O18" s="30" t="inlineStr">
        <is>
          <t>NOT TESTED</t>
        </is>
      </c>
      <c r="P18" s="30" t="str"/>
      <c r="Q18" s="31" t="str"/>
      <c r="R18" s="30" t="inlineStr">
        <is>
          <t>NO</t>
        </is>
      </c>
    </row>
    <row r="19">
      <c r="A19" s="29" t="str"/>
      <c r="B19" s="30" t="str"/>
      <c r="C19" s="30" t="str"/>
      <c r="D19" s="30" t="str"/>
      <c r="E19" s="30" t="str"/>
      <c r="F19" s="30" t="str"/>
      <c r="G19" s="30" t="str"/>
      <c r="H19" s="30" t="str"/>
      <c r="I19" s="30" t="str"/>
      <c r="J19" s="30" t="str"/>
      <c r="K19" s="30" t="inlineStr">
        <is>
          <t>OPEN</t>
        </is>
      </c>
      <c r="L19" s="30" t="str"/>
      <c r="M19" s="30" t="str"/>
      <c r="N19" s="30" t="str"/>
      <c r="O19" s="30" t="inlineStr">
        <is>
          <t>NOT TESTED</t>
        </is>
      </c>
      <c r="P19" s="30" t="str"/>
      <c r="Q19" s="31" t="str"/>
      <c r="R19" s="30" t="inlineStr">
        <is>
          <t>NO</t>
        </is>
      </c>
    </row>
    <row r="20">
      <c r="A20" s="29" t="str"/>
      <c r="B20" s="30" t="str"/>
      <c r="C20" s="30" t="str"/>
      <c r="D20" s="30" t="str"/>
      <c r="E20" s="30" t="str"/>
      <c r="F20" s="30" t="str"/>
      <c r="G20" s="30" t="str"/>
      <c r="H20" s="30" t="str"/>
      <c r="I20" s="30" t="str"/>
      <c r="J20" s="30" t="str"/>
      <c r="K20" s="30" t="inlineStr">
        <is>
          <t>OPEN</t>
        </is>
      </c>
      <c r="L20" s="30" t="str"/>
      <c r="M20" s="30" t="str"/>
      <c r="N20" s="30" t="str"/>
      <c r="O20" s="30" t="inlineStr">
        <is>
          <t>NOT TESTED</t>
        </is>
      </c>
      <c r="P20" s="30" t="str"/>
      <c r="Q20" s="31" t="str"/>
      <c r="R20" s="30" t="inlineStr">
        <is>
          <t>NO</t>
        </is>
      </c>
    </row>
    <row r="21">
      <c r="A21" s="29" t="str"/>
      <c r="B21" s="30" t="str"/>
      <c r="C21" s="30" t="str"/>
      <c r="D21" s="30" t="str"/>
      <c r="E21" s="30" t="str"/>
      <c r="F21" s="30" t="str"/>
      <c r="G21" s="30" t="str"/>
      <c r="H21" s="30" t="str"/>
      <c r="I21" s="30" t="str"/>
      <c r="J21" s="30" t="str"/>
      <c r="K21" s="30" t="inlineStr">
        <is>
          <t>OPEN</t>
        </is>
      </c>
      <c r="L21" s="30" t="str"/>
      <c r="M21" s="30" t="str"/>
      <c r="N21" s="30" t="str"/>
      <c r="O21" s="30" t="inlineStr">
        <is>
          <t>NOT TESTED</t>
        </is>
      </c>
      <c r="P21" s="30" t="str"/>
      <c r="Q21" s="31" t="str"/>
      <c r="R21" s="30" t="inlineStr">
        <is>
          <t>NO</t>
        </is>
      </c>
    </row>
    <row r="22">
      <c r="A22" s="29" t="str"/>
      <c r="B22" s="30" t="str"/>
      <c r="C22" s="30" t="str"/>
      <c r="D22" s="30" t="str"/>
      <c r="E22" s="30" t="str"/>
      <c r="F22" s="30" t="str"/>
      <c r="G22" s="30" t="str"/>
      <c r="H22" s="30" t="str"/>
      <c r="I22" s="30" t="str"/>
      <c r="J22" s="30" t="str"/>
      <c r="K22" s="30" t="inlineStr">
        <is>
          <t>OPEN</t>
        </is>
      </c>
      <c r="L22" s="30" t="str"/>
      <c r="M22" s="30" t="str"/>
      <c r="N22" s="30" t="str"/>
      <c r="O22" s="30" t="inlineStr">
        <is>
          <t>NOT TESTED</t>
        </is>
      </c>
      <c r="P22" s="30" t="str"/>
      <c r="Q22" s="31" t="str"/>
      <c r="R22" s="30" t="inlineStr">
        <is>
          <t>NO</t>
        </is>
      </c>
    </row>
    <row r="23">
      <c r="A23" s="29" t="str"/>
      <c r="B23" s="30" t="str"/>
      <c r="C23" s="30" t="str"/>
      <c r="D23" s="30" t="str"/>
      <c r="E23" s="30" t="str"/>
      <c r="F23" s="30" t="str"/>
      <c r="G23" s="30" t="str"/>
      <c r="H23" s="30" t="str"/>
      <c r="I23" s="30" t="str"/>
      <c r="J23" s="30" t="str"/>
      <c r="K23" s="30" t="inlineStr">
        <is>
          <t>OPEN</t>
        </is>
      </c>
      <c r="L23" s="30" t="str"/>
      <c r="M23" s="30" t="str"/>
      <c r="N23" s="30" t="str"/>
      <c r="O23" s="30" t="inlineStr">
        <is>
          <t>NOT TESTED</t>
        </is>
      </c>
      <c r="P23" s="30" t="str"/>
      <c r="Q23" s="31" t="str"/>
      <c r="R23" s="30" t="inlineStr">
        <is>
          <t>NO</t>
        </is>
      </c>
    </row>
    <row r="24">
      <c r="A24" s="29" t="str"/>
      <c r="B24" s="30" t="str"/>
      <c r="C24" s="30" t="str"/>
      <c r="D24" s="30" t="str"/>
      <c r="E24" s="30" t="str"/>
      <c r="F24" s="30" t="str"/>
      <c r="G24" s="30" t="str"/>
      <c r="H24" s="30" t="str"/>
      <c r="I24" s="30" t="str"/>
      <c r="J24" s="30" t="str"/>
      <c r="K24" s="30" t="inlineStr">
        <is>
          <t>OPEN</t>
        </is>
      </c>
      <c r="L24" s="30" t="str"/>
      <c r="M24" s="30" t="str"/>
      <c r="N24" s="30" t="str"/>
      <c r="O24" s="30" t="inlineStr">
        <is>
          <t>NOT TESTED</t>
        </is>
      </c>
      <c r="P24" s="30" t="str"/>
      <c r="Q24" s="31" t="str"/>
      <c r="R24" s="30" t="inlineStr">
        <is>
          <t>NO</t>
        </is>
      </c>
    </row>
    <row r="25">
      <c r="A25" s="29" t="str"/>
      <c r="B25" s="30" t="str"/>
      <c r="C25" s="30" t="str"/>
      <c r="D25" s="30" t="str"/>
      <c r="E25" s="30" t="str"/>
      <c r="F25" s="30" t="str"/>
      <c r="G25" s="30" t="str"/>
      <c r="H25" s="30" t="str"/>
      <c r="I25" s="30" t="str"/>
      <c r="J25" s="30" t="str"/>
      <c r="K25" s="30" t="inlineStr">
        <is>
          <t>OPEN</t>
        </is>
      </c>
      <c r="L25" s="30" t="str"/>
      <c r="M25" s="30" t="str"/>
      <c r="N25" s="30" t="str"/>
      <c r="O25" s="30" t="inlineStr">
        <is>
          <t>NOT TESTED</t>
        </is>
      </c>
      <c r="P25" s="30" t="str"/>
      <c r="Q25" s="31" t="str"/>
      <c r="R25" s="30" t="inlineStr">
        <is>
          <t>NO</t>
        </is>
      </c>
    </row>
    <row r="26">
      <c r="A26" s="29" t="str"/>
      <c r="B26" s="30" t="str"/>
      <c r="C26" s="30" t="str"/>
      <c r="D26" s="30" t="str"/>
      <c r="E26" s="30" t="str"/>
      <c r="F26" s="30" t="str"/>
      <c r="G26" s="30" t="str"/>
      <c r="H26" s="30" t="str"/>
      <c r="I26" s="30" t="str"/>
      <c r="J26" s="30" t="str"/>
      <c r="K26" s="30" t="inlineStr">
        <is>
          <t>OPEN</t>
        </is>
      </c>
      <c r="L26" s="30" t="str"/>
      <c r="M26" s="30" t="str"/>
      <c r="N26" s="30" t="str"/>
      <c r="O26" s="30" t="inlineStr">
        <is>
          <t>NOT TESTED</t>
        </is>
      </c>
      <c r="P26" s="30" t="str"/>
      <c r="Q26" s="31" t="str"/>
      <c r="R26" s="30" t="inlineStr">
        <is>
          <t>NO</t>
        </is>
      </c>
    </row>
    <row r="27">
      <c r="A27" s="29" t="str"/>
      <c r="B27" s="30" t="str"/>
      <c r="C27" s="30" t="str"/>
      <c r="D27" s="30" t="str"/>
      <c r="E27" s="30" t="str"/>
      <c r="F27" s="30" t="str"/>
      <c r="G27" s="30" t="str"/>
      <c r="H27" s="30" t="str"/>
      <c r="I27" s="30" t="str"/>
      <c r="J27" s="30" t="str"/>
      <c r="K27" s="30" t="inlineStr">
        <is>
          <t>OPEN</t>
        </is>
      </c>
      <c r="L27" s="30" t="str"/>
      <c r="M27" s="30" t="str"/>
      <c r="N27" s="30" t="str"/>
      <c r="O27" s="30" t="inlineStr">
        <is>
          <t>NOT TESTED</t>
        </is>
      </c>
      <c r="P27" s="30" t="str"/>
      <c r="Q27" s="31" t="str"/>
      <c r="R27" s="30" t="inlineStr">
        <is>
          <t>NO</t>
        </is>
      </c>
    </row>
    <row r="28">
      <c r="A28" s="29" t="str"/>
      <c r="B28" s="30" t="str"/>
      <c r="C28" s="30" t="str"/>
      <c r="D28" s="30" t="str"/>
      <c r="E28" s="30" t="str"/>
      <c r="F28" s="30" t="str"/>
      <c r="G28" s="30" t="str"/>
      <c r="H28" s="30" t="str"/>
      <c r="I28" s="30" t="str"/>
      <c r="J28" s="30" t="str"/>
      <c r="K28" s="30" t="inlineStr">
        <is>
          <t>OPEN</t>
        </is>
      </c>
      <c r="L28" s="30" t="str"/>
      <c r="M28" s="30" t="str"/>
      <c r="N28" s="30" t="str"/>
      <c r="O28" s="30" t="inlineStr">
        <is>
          <t>NOT TESTED</t>
        </is>
      </c>
      <c r="P28" s="30" t="str"/>
      <c r="Q28" s="31" t="str"/>
      <c r="R28" s="30" t="inlineStr">
        <is>
          <t>NO</t>
        </is>
      </c>
    </row>
    <row r="29">
      <c r="A29" s="29" t="str"/>
      <c r="B29" s="30" t="str"/>
      <c r="C29" s="30" t="str"/>
      <c r="D29" s="30" t="str"/>
      <c r="E29" s="30" t="str"/>
      <c r="F29" s="30" t="str"/>
      <c r="G29" s="30" t="str"/>
      <c r="H29" s="30" t="str"/>
      <c r="I29" s="30" t="str"/>
      <c r="J29" s="30" t="str"/>
      <c r="K29" s="30" t="inlineStr">
        <is>
          <t>OPEN</t>
        </is>
      </c>
      <c r="L29" s="30" t="str"/>
      <c r="M29" s="30" t="str"/>
      <c r="N29" s="30" t="str"/>
      <c r="O29" s="30" t="inlineStr">
        <is>
          <t>NOT TESTED</t>
        </is>
      </c>
      <c r="P29" s="30" t="str"/>
      <c r="Q29" s="31" t="str"/>
      <c r="R29" s="30" t="inlineStr">
        <is>
          <t>NO</t>
        </is>
      </c>
    </row>
    <row r="30">
      <c r="A30" s="29" t="str"/>
      <c r="B30" s="30" t="str"/>
      <c r="C30" s="30" t="str"/>
      <c r="D30" s="30" t="str"/>
      <c r="E30" s="30" t="str"/>
      <c r="F30" s="30" t="str"/>
      <c r="G30" s="30" t="str"/>
      <c r="H30" s="30" t="str"/>
      <c r="I30" s="30" t="str"/>
      <c r="J30" s="30" t="str"/>
      <c r="K30" s="30" t="inlineStr">
        <is>
          <t>OPEN</t>
        </is>
      </c>
      <c r="L30" s="30" t="str"/>
      <c r="M30" s="30" t="str"/>
      <c r="N30" s="30" t="str"/>
      <c r="O30" s="30" t="inlineStr">
        <is>
          <t>NOT TESTED</t>
        </is>
      </c>
      <c r="P30" s="30" t="str"/>
      <c r="Q30" s="31" t="str"/>
      <c r="R30" s="30" t="inlineStr">
        <is>
          <t>NO</t>
        </is>
      </c>
    </row>
    <row r="31">
      <c r="A31" s="29" t="str"/>
      <c r="B31" s="30" t="str"/>
      <c r="C31" s="30" t="str"/>
      <c r="D31" s="30" t="str"/>
      <c r="E31" s="30" t="str"/>
      <c r="F31" s="30" t="str"/>
      <c r="G31" s="30" t="str"/>
      <c r="H31" s="30" t="str"/>
      <c r="I31" s="30" t="str"/>
      <c r="J31" s="30" t="str"/>
      <c r="K31" s="30" t="inlineStr">
        <is>
          <t>OPEN</t>
        </is>
      </c>
      <c r="L31" s="30" t="str"/>
      <c r="M31" s="30" t="str"/>
      <c r="N31" s="30" t="str"/>
      <c r="O31" s="30" t="inlineStr">
        <is>
          <t>NOT TESTED</t>
        </is>
      </c>
      <c r="P31" s="30" t="str"/>
      <c r="Q31" s="31" t="str"/>
      <c r="R31" s="30" t="inlineStr">
        <is>
          <t>NO</t>
        </is>
      </c>
    </row>
    <row r="32">
      <c r="A32" s="29" t="str"/>
      <c r="B32" s="30" t="str"/>
      <c r="C32" s="30" t="str"/>
      <c r="D32" s="30" t="str"/>
      <c r="E32" s="30" t="str"/>
      <c r="F32" s="30" t="str"/>
      <c r="G32" s="30" t="str"/>
      <c r="H32" s="30" t="str"/>
      <c r="I32" s="30" t="str"/>
      <c r="J32" s="30" t="str"/>
      <c r="K32" s="30" t="inlineStr">
        <is>
          <t>OPEN</t>
        </is>
      </c>
      <c r="L32" s="30" t="str"/>
      <c r="M32" s="30" t="str"/>
      <c r="N32" s="30" t="str"/>
      <c r="O32" s="30" t="inlineStr">
        <is>
          <t>NOT TESTED</t>
        </is>
      </c>
      <c r="P32" s="30" t="str"/>
      <c r="Q32" s="31" t="str"/>
      <c r="R32" s="30" t="inlineStr">
        <is>
          <t>NO</t>
        </is>
      </c>
    </row>
    <row r="33">
      <c r="A33" s="29" t="str"/>
      <c r="B33" s="30" t="str"/>
      <c r="C33" s="30" t="str"/>
      <c r="D33" s="30" t="str"/>
      <c r="E33" s="30" t="str"/>
      <c r="F33" s="30" t="str"/>
      <c r="G33" s="30" t="str"/>
      <c r="H33" s="30" t="str"/>
      <c r="I33" s="30" t="str"/>
      <c r="J33" s="30" t="str"/>
      <c r="K33" s="30" t="inlineStr">
        <is>
          <t>OPEN</t>
        </is>
      </c>
      <c r="L33" s="30" t="str"/>
      <c r="M33" s="30" t="str"/>
      <c r="N33" s="30" t="str"/>
      <c r="O33" s="30" t="inlineStr">
        <is>
          <t>NOT TESTED</t>
        </is>
      </c>
      <c r="P33" s="30" t="str"/>
      <c r="Q33" s="31" t="str"/>
      <c r="R33" s="30" t="inlineStr">
        <is>
          <t>NO</t>
        </is>
      </c>
    </row>
    <row r="34">
      <c r="A34" s="29" t="str"/>
      <c r="B34" s="30" t="str"/>
      <c r="C34" s="30" t="str"/>
      <c r="D34" s="30" t="str"/>
      <c r="E34" s="30" t="str"/>
      <c r="F34" s="30" t="str"/>
      <c r="G34" s="30" t="str"/>
      <c r="H34" s="30" t="str"/>
      <c r="I34" s="30" t="str"/>
      <c r="J34" s="30" t="str"/>
      <c r="K34" s="30" t="inlineStr">
        <is>
          <t>OPEN</t>
        </is>
      </c>
      <c r="L34" s="30" t="str"/>
      <c r="M34" s="30" t="str"/>
      <c r="N34" s="30" t="str"/>
      <c r="O34" s="30" t="inlineStr">
        <is>
          <t>NOT TESTED</t>
        </is>
      </c>
      <c r="P34" s="30" t="str"/>
      <c r="Q34" s="31" t="str"/>
      <c r="R34" s="30" t="inlineStr">
        <is>
          <t>NO</t>
        </is>
      </c>
    </row>
    <row r="35">
      <c r="A35" s="29" t="str"/>
      <c r="B35" s="30" t="str"/>
      <c r="C35" s="30" t="str"/>
      <c r="D35" s="30" t="str"/>
      <c r="E35" s="30" t="str"/>
      <c r="F35" s="30" t="str"/>
      <c r="G35" s="30" t="str"/>
      <c r="H35" s="30" t="str"/>
      <c r="I35" s="30" t="str"/>
      <c r="J35" s="30" t="str"/>
      <c r="K35" s="30" t="inlineStr">
        <is>
          <t>OPEN</t>
        </is>
      </c>
      <c r="L35" s="30" t="str"/>
      <c r="M35" s="30" t="str"/>
      <c r="N35" s="30" t="str"/>
      <c r="O35" s="30" t="inlineStr">
        <is>
          <t>NOT TESTED</t>
        </is>
      </c>
      <c r="P35" s="30" t="str"/>
      <c r="Q35" s="31" t="str"/>
      <c r="R35" s="30" t="inlineStr">
        <is>
          <t>NO</t>
        </is>
      </c>
    </row>
    <row r="36">
      <c r="A36" s="29" t="str"/>
      <c r="B36" s="30" t="str"/>
      <c r="C36" s="30" t="str"/>
      <c r="D36" s="30" t="str"/>
      <c r="E36" s="30" t="str"/>
      <c r="F36" s="30" t="str"/>
      <c r="G36" s="30" t="str"/>
      <c r="H36" s="30" t="str"/>
      <c r="I36" s="30" t="str"/>
      <c r="J36" s="30" t="str"/>
      <c r="K36" s="30" t="inlineStr">
        <is>
          <t>OPEN</t>
        </is>
      </c>
      <c r="L36" s="30" t="str"/>
      <c r="M36" s="30" t="str"/>
      <c r="N36" s="30" t="str"/>
      <c r="O36" s="30" t="inlineStr">
        <is>
          <t>NOT TESTED</t>
        </is>
      </c>
      <c r="P36" s="30" t="str"/>
      <c r="Q36" s="31" t="str"/>
      <c r="R36" s="30" t="inlineStr">
        <is>
          <t>NO</t>
        </is>
      </c>
    </row>
    <row r="37">
      <c r="A37" s="29" t="str"/>
      <c r="B37" s="30" t="str"/>
      <c r="C37" s="30" t="str"/>
      <c r="D37" s="30" t="str"/>
      <c r="E37" s="30" t="str"/>
      <c r="F37" s="30" t="str"/>
      <c r="G37" s="30" t="str"/>
      <c r="H37" s="30" t="str"/>
      <c r="I37" s="30" t="str"/>
      <c r="J37" s="30" t="str"/>
      <c r="K37" s="30" t="inlineStr">
        <is>
          <t>OPEN</t>
        </is>
      </c>
      <c r="L37" s="30" t="str"/>
      <c r="M37" s="30" t="str"/>
      <c r="N37" s="30" t="str"/>
      <c r="O37" s="30" t="inlineStr">
        <is>
          <t>NOT TESTED</t>
        </is>
      </c>
      <c r="P37" s="30" t="str"/>
      <c r="Q37" s="31" t="str"/>
      <c r="R37" s="30" t="inlineStr">
        <is>
          <t>NO</t>
        </is>
      </c>
    </row>
    <row r="38">
      <c r="A38" s="29" t="str"/>
      <c r="B38" s="30" t="str"/>
      <c r="C38" s="30" t="str"/>
      <c r="D38" s="30" t="str"/>
      <c r="E38" s="30" t="str"/>
      <c r="F38" s="30" t="str"/>
      <c r="G38" s="30" t="str"/>
      <c r="H38" s="30" t="str"/>
      <c r="I38" s="30" t="str"/>
      <c r="J38" s="30" t="str"/>
      <c r="K38" s="30" t="inlineStr">
        <is>
          <t>OPEN</t>
        </is>
      </c>
      <c r="L38" s="30" t="str"/>
      <c r="M38" s="30" t="str"/>
      <c r="N38" s="30" t="str"/>
      <c r="O38" s="30" t="inlineStr">
        <is>
          <t>NOT TESTED</t>
        </is>
      </c>
      <c r="P38" s="30" t="str"/>
      <c r="Q38" s="31" t="str"/>
      <c r="R38" s="30" t="inlineStr">
        <is>
          <t>NO</t>
        </is>
      </c>
    </row>
    <row r="39">
      <c r="A39" s="29" t="str"/>
      <c r="B39" s="30" t="str"/>
      <c r="C39" s="30" t="str"/>
      <c r="D39" s="30" t="str"/>
      <c r="E39" s="30" t="str"/>
      <c r="F39" s="30" t="str"/>
      <c r="G39" s="30" t="str"/>
      <c r="H39" s="30" t="str"/>
      <c r="I39" s="30" t="str"/>
      <c r="J39" s="30" t="str"/>
      <c r="K39" s="30" t="inlineStr">
        <is>
          <t>OPEN</t>
        </is>
      </c>
      <c r="L39" s="30" t="str"/>
      <c r="M39" s="30" t="str"/>
      <c r="N39" s="30" t="str"/>
      <c r="O39" s="30" t="inlineStr">
        <is>
          <t>NOT TESTED</t>
        </is>
      </c>
      <c r="P39" s="30" t="str"/>
      <c r="Q39" s="31" t="str"/>
      <c r="R39" s="30" t="inlineStr">
        <is>
          <t>NO</t>
        </is>
      </c>
    </row>
    <row r="40">
      <c r="A40" s="29" t="str"/>
      <c r="B40" s="30" t="str"/>
      <c r="C40" s="30" t="str"/>
      <c r="D40" s="30" t="str"/>
      <c r="E40" s="30" t="str"/>
      <c r="F40" s="30" t="str"/>
      <c r="G40" s="30" t="str"/>
      <c r="H40" s="30" t="str"/>
      <c r="I40" s="30" t="str"/>
      <c r="J40" s="30" t="str"/>
      <c r="K40" s="30" t="inlineStr">
        <is>
          <t>OPEN</t>
        </is>
      </c>
      <c r="L40" s="30" t="str"/>
      <c r="M40" s="30" t="str"/>
      <c r="N40" s="30" t="str"/>
      <c r="O40" s="30" t="inlineStr">
        <is>
          <t>NOT TESTED</t>
        </is>
      </c>
      <c r="P40" s="30" t="str"/>
      <c r="Q40" s="31" t="str"/>
      <c r="R40" s="30" t="inlineStr">
        <is>
          <t>NO</t>
        </is>
      </c>
    </row>
    <row r="41">
      <c r="A41" s="29" t="str"/>
      <c r="B41" s="30" t="str"/>
      <c r="C41" s="30" t="str"/>
      <c r="D41" s="30" t="str"/>
      <c r="E41" s="30" t="str"/>
      <c r="F41" s="30" t="str"/>
      <c r="G41" s="30" t="str"/>
      <c r="H41" s="30" t="str"/>
      <c r="I41" s="30" t="str"/>
      <c r="J41" s="30" t="str"/>
      <c r="K41" s="30" t="inlineStr">
        <is>
          <t>OPEN</t>
        </is>
      </c>
      <c r="L41" s="30" t="str"/>
      <c r="M41" s="30" t="str"/>
      <c r="N41" s="30" t="str"/>
      <c r="O41" s="30" t="inlineStr">
        <is>
          <t>NOT TESTED</t>
        </is>
      </c>
      <c r="P41" s="30" t="str"/>
      <c r="Q41" s="31" t="str"/>
      <c r="R41" s="30" t="inlineStr">
        <is>
          <t>NO</t>
        </is>
      </c>
    </row>
    <row r="42">
      <c r="A42" s="29" t="str"/>
      <c r="B42" s="30" t="str"/>
      <c r="C42" s="30" t="str"/>
      <c r="D42" s="30" t="str"/>
      <c r="E42" s="30" t="str"/>
      <c r="F42" s="30" t="str"/>
      <c r="G42" s="30" t="str"/>
      <c r="H42" s="30" t="str"/>
      <c r="I42" s="30" t="str"/>
      <c r="J42" s="30" t="str"/>
      <c r="K42" s="30" t="inlineStr">
        <is>
          <t>OPEN</t>
        </is>
      </c>
      <c r="L42" s="30" t="str"/>
      <c r="M42" s="30" t="str"/>
      <c r="N42" s="30" t="str"/>
      <c r="O42" s="30" t="inlineStr">
        <is>
          <t>NOT TESTED</t>
        </is>
      </c>
      <c r="P42" s="30" t="str"/>
      <c r="Q42" s="31" t="str"/>
      <c r="R42" s="30" t="inlineStr">
        <is>
          <t>NO</t>
        </is>
      </c>
    </row>
    <row r="43">
      <c r="A43" s="29" t="str"/>
      <c r="B43" s="30" t="str"/>
      <c r="C43" s="30" t="str"/>
      <c r="D43" s="30" t="str"/>
      <c r="E43" s="30" t="str"/>
      <c r="F43" s="30" t="str"/>
      <c r="G43" s="30" t="str"/>
      <c r="H43" s="30" t="str"/>
      <c r="I43" s="30" t="str"/>
      <c r="J43" s="30" t="str"/>
      <c r="K43" s="30" t="inlineStr">
        <is>
          <t>OPEN</t>
        </is>
      </c>
      <c r="L43" s="30" t="str"/>
      <c r="M43" s="30" t="str"/>
      <c r="N43" s="30" t="str"/>
      <c r="O43" s="30" t="inlineStr">
        <is>
          <t>NOT TESTED</t>
        </is>
      </c>
      <c r="P43" s="30" t="str"/>
      <c r="Q43" s="31" t="str"/>
      <c r="R43" s="30" t="inlineStr">
        <is>
          <t>NO</t>
        </is>
      </c>
    </row>
    <row r="44">
      <c r="A44" s="29" t="str"/>
      <c r="B44" s="30" t="str"/>
      <c r="C44" s="30" t="str"/>
      <c r="D44" s="30" t="str"/>
      <c r="E44" s="30" t="str"/>
      <c r="F44" s="30" t="str"/>
      <c r="G44" s="30" t="str"/>
      <c r="H44" s="30" t="str"/>
      <c r="I44" s="30" t="str"/>
      <c r="J44" s="30" t="str"/>
      <c r="K44" s="30" t="inlineStr">
        <is>
          <t>OPEN</t>
        </is>
      </c>
      <c r="L44" s="30" t="str"/>
      <c r="M44" s="30" t="str"/>
      <c r="N44" s="30" t="str"/>
      <c r="O44" s="30" t="inlineStr">
        <is>
          <t>NOT TESTED</t>
        </is>
      </c>
      <c r="P44" s="30" t="str"/>
      <c r="Q44" s="31" t="str"/>
      <c r="R44" s="30" t="inlineStr">
        <is>
          <t>NO</t>
        </is>
      </c>
    </row>
    <row r="45">
      <c r="A45" s="29" t="str"/>
      <c r="B45" s="30" t="str"/>
      <c r="C45" s="30" t="str"/>
      <c r="D45" s="30" t="str"/>
      <c r="E45" s="30" t="str"/>
      <c r="F45" s="30" t="str"/>
      <c r="G45" s="30" t="str"/>
      <c r="H45" s="30" t="str"/>
      <c r="I45" s="30" t="str"/>
      <c r="J45" s="30" t="str"/>
      <c r="K45" s="30" t="inlineStr">
        <is>
          <t>OPEN</t>
        </is>
      </c>
      <c r="L45" s="30" t="str"/>
      <c r="M45" s="30" t="str"/>
      <c r="N45" s="30" t="str"/>
      <c r="O45" s="30" t="inlineStr">
        <is>
          <t>NOT TESTED</t>
        </is>
      </c>
      <c r="P45" s="30" t="str"/>
      <c r="Q45" s="31" t="str"/>
      <c r="R45" s="30" t="inlineStr">
        <is>
          <t>NO</t>
        </is>
      </c>
    </row>
    <row r="46">
      <c r="A46" s="29" t="str"/>
      <c r="B46" s="30" t="str"/>
      <c r="C46" s="30" t="str"/>
      <c r="D46" s="30" t="str"/>
      <c r="E46" s="30" t="str"/>
      <c r="F46" s="30" t="str"/>
      <c r="G46" s="30" t="str"/>
      <c r="H46" s="30" t="str"/>
      <c r="I46" s="30" t="str"/>
      <c r="J46" s="30" t="str"/>
      <c r="K46" s="30" t="inlineStr">
        <is>
          <t>OPEN</t>
        </is>
      </c>
      <c r="L46" s="30" t="str"/>
      <c r="M46" s="30" t="str"/>
      <c r="N46" s="30" t="str"/>
      <c r="O46" s="30" t="inlineStr">
        <is>
          <t>NOT TESTED</t>
        </is>
      </c>
      <c r="P46" s="30" t="str"/>
      <c r="Q46" s="31" t="str"/>
      <c r="R46" s="30" t="inlineStr">
        <is>
          <t>NO</t>
        </is>
      </c>
    </row>
    <row r="47">
      <c r="A47" s="29" t="str"/>
      <c r="B47" s="30" t="str"/>
      <c r="C47" s="30" t="str"/>
      <c r="D47" s="30" t="str"/>
      <c r="E47" s="30" t="str"/>
      <c r="F47" s="30" t="str"/>
      <c r="G47" s="30" t="str"/>
      <c r="H47" s="30" t="str"/>
      <c r="I47" s="30" t="str"/>
      <c r="J47" s="30" t="str"/>
      <c r="K47" s="30" t="inlineStr">
        <is>
          <t>OPEN</t>
        </is>
      </c>
      <c r="L47" s="30" t="str"/>
      <c r="M47" s="30" t="str"/>
      <c r="N47" s="30" t="str"/>
      <c r="O47" s="30" t="inlineStr">
        <is>
          <t>NOT TESTED</t>
        </is>
      </c>
      <c r="P47" s="30" t="str"/>
      <c r="Q47" s="31" t="str"/>
      <c r="R47" s="30" t="inlineStr">
        <is>
          <t>NO</t>
        </is>
      </c>
    </row>
    <row r="48">
      <c r="A48" s="29" t="str"/>
      <c r="B48" s="30" t="str"/>
      <c r="C48" s="30" t="str"/>
      <c r="D48" s="30" t="str"/>
      <c r="E48" s="30" t="str"/>
      <c r="F48" s="30" t="str"/>
      <c r="G48" s="30" t="str"/>
      <c r="H48" s="30" t="str"/>
      <c r="I48" s="30" t="str"/>
      <c r="J48" s="30" t="str"/>
      <c r="K48" s="30" t="inlineStr">
        <is>
          <t>OPEN</t>
        </is>
      </c>
      <c r="L48" s="30" t="str"/>
      <c r="M48" s="30" t="str"/>
      <c r="N48" s="30" t="str"/>
      <c r="O48" s="30" t="inlineStr">
        <is>
          <t>NOT TESTED</t>
        </is>
      </c>
      <c r="P48" s="30" t="str"/>
      <c r="Q48" s="31" t="str"/>
      <c r="R48" s="30" t="inlineStr">
        <is>
          <t>NO</t>
        </is>
      </c>
    </row>
    <row r="49">
      <c r="A49" s="29" t="str"/>
      <c r="B49" s="30" t="str"/>
      <c r="C49" s="30" t="str"/>
      <c r="D49" s="30" t="str"/>
      <c r="E49" s="30" t="str"/>
      <c r="F49" s="30" t="str"/>
      <c r="G49" s="30" t="str"/>
      <c r="H49" s="30" t="str"/>
      <c r="I49" s="30" t="str"/>
      <c r="J49" s="30" t="str"/>
      <c r="K49" s="30" t="inlineStr">
        <is>
          <t>OPEN</t>
        </is>
      </c>
      <c r="L49" s="30" t="str"/>
      <c r="M49" s="30" t="str"/>
      <c r="N49" s="30" t="str"/>
      <c r="O49" s="30" t="inlineStr">
        <is>
          <t>NOT TESTED</t>
        </is>
      </c>
      <c r="P49" s="30" t="str"/>
      <c r="Q49" s="31" t="str"/>
      <c r="R49" s="30" t="inlineStr">
        <is>
          <t>NO</t>
        </is>
      </c>
    </row>
    <row r="50">
      <c r="A50" s="29" t="str"/>
      <c r="B50" s="30" t="str"/>
      <c r="C50" s="30" t="str"/>
      <c r="D50" s="30" t="str"/>
      <c r="E50" s="30" t="str"/>
      <c r="F50" s="30" t="str"/>
      <c r="G50" s="30" t="str"/>
      <c r="H50" s="30" t="str"/>
      <c r="I50" s="30" t="str"/>
      <c r="J50" s="30" t="str"/>
      <c r="K50" s="30" t="inlineStr">
        <is>
          <t>OPEN</t>
        </is>
      </c>
      <c r="L50" s="30" t="str"/>
      <c r="M50" s="30" t="str"/>
      <c r="N50" s="30" t="str"/>
      <c r="O50" s="30" t="inlineStr">
        <is>
          <t>NOT TESTED</t>
        </is>
      </c>
      <c r="P50" s="30" t="str"/>
      <c r="Q50" s="31" t="str"/>
      <c r="R50" s="30" t="inlineStr">
        <is>
          <t>NO</t>
        </is>
      </c>
    </row>
    <row r="51">
      <c r="A51" s="29" t="str"/>
      <c r="B51" s="30" t="str"/>
      <c r="C51" s="30" t="str"/>
      <c r="D51" s="30" t="str"/>
      <c r="E51" s="30" t="str"/>
      <c r="F51" s="30" t="str"/>
      <c r="G51" s="30" t="str"/>
      <c r="H51" s="30" t="str"/>
      <c r="I51" s="30" t="str"/>
      <c r="J51" s="30" t="str"/>
      <c r="K51" s="30" t="inlineStr">
        <is>
          <t>OPEN</t>
        </is>
      </c>
      <c r="L51" s="30" t="str"/>
      <c r="M51" s="30" t="str"/>
      <c r="N51" s="30" t="str"/>
      <c r="O51" s="30" t="inlineStr">
        <is>
          <t>NOT TESTED</t>
        </is>
      </c>
      <c r="P51" s="30" t="str"/>
      <c r="Q51" s="31" t="str"/>
      <c r="R51" s="30" t="inlineStr">
        <is>
          <t>NO</t>
        </is>
      </c>
    </row>
    <row r="52">
      <c r="A52" s="29" t="str"/>
      <c r="B52" s="30" t="str"/>
      <c r="C52" s="30" t="str"/>
      <c r="D52" s="30" t="str"/>
      <c r="E52" s="30" t="str"/>
      <c r="F52" s="30" t="str"/>
      <c r="G52" s="30" t="str"/>
      <c r="H52" s="30" t="str"/>
      <c r="I52" s="30" t="str"/>
      <c r="J52" s="30" t="str"/>
      <c r="K52" s="30" t="inlineStr">
        <is>
          <t>OPEN</t>
        </is>
      </c>
      <c r="L52" s="30" t="str"/>
      <c r="M52" s="30" t="str"/>
      <c r="N52" s="30" t="str"/>
      <c r="O52" s="30" t="inlineStr">
        <is>
          <t>NOT TESTED</t>
        </is>
      </c>
      <c r="P52" s="30" t="str"/>
      <c r="Q52" s="31" t="str"/>
      <c r="R52" s="30" t="inlineStr">
        <is>
          <t>NO</t>
        </is>
      </c>
    </row>
    <row r="53">
      <c r="A53" s="29" t="str"/>
      <c r="B53" s="30" t="str"/>
      <c r="C53" s="30" t="str"/>
      <c r="D53" s="30" t="str"/>
      <c r="E53" s="30" t="str"/>
      <c r="F53" s="30" t="str"/>
      <c r="G53" s="30" t="str"/>
      <c r="H53" s="30" t="str"/>
      <c r="I53" s="30" t="str"/>
      <c r="J53" s="30" t="str"/>
      <c r="K53" s="30" t="inlineStr">
        <is>
          <t>OPEN</t>
        </is>
      </c>
      <c r="L53" s="30" t="str"/>
      <c r="M53" s="30" t="str"/>
      <c r="N53" s="30" t="str"/>
      <c r="O53" s="30" t="inlineStr">
        <is>
          <t>NOT TESTED</t>
        </is>
      </c>
      <c r="P53" s="30" t="str"/>
      <c r="Q53" s="31" t="str"/>
      <c r="R53" s="30" t="inlineStr">
        <is>
          <t>NO</t>
        </is>
      </c>
    </row>
    <row r="54">
      <c r="A54" s="29" t="str"/>
      <c r="B54" s="30" t="str"/>
      <c r="C54" s="30" t="str"/>
      <c r="D54" s="30" t="str"/>
      <c r="E54" s="30" t="str"/>
      <c r="F54" s="30" t="str"/>
      <c r="G54" s="30" t="str"/>
      <c r="H54" s="30" t="str"/>
      <c r="I54" s="30" t="str"/>
      <c r="J54" s="30" t="str"/>
      <c r="K54" s="30" t="inlineStr">
        <is>
          <t>OPEN</t>
        </is>
      </c>
      <c r="L54" s="30" t="str"/>
      <c r="M54" s="30" t="str"/>
      <c r="N54" s="30" t="str"/>
      <c r="O54" s="30" t="inlineStr">
        <is>
          <t>NOT TESTED</t>
        </is>
      </c>
      <c r="P54" s="30" t="str"/>
      <c r="Q54" s="31" t="str"/>
      <c r="R54" s="30" t="inlineStr">
        <is>
          <t>NO</t>
        </is>
      </c>
    </row>
    <row r="55">
      <c r="A55" s="29" t="str"/>
      <c r="B55" s="30" t="str"/>
      <c r="C55" s="30" t="str"/>
      <c r="D55" s="30" t="str"/>
      <c r="E55" s="30" t="str"/>
      <c r="F55" s="30" t="str"/>
      <c r="G55" s="30" t="str"/>
      <c r="H55" s="30" t="str"/>
      <c r="I55" s="30" t="str"/>
      <c r="J55" s="30" t="str"/>
      <c r="K55" s="30" t="inlineStr">
        <is>
          <t>OPEN</t>
        </is>
      </c>
      <c r="L55" s="30" t="str"/>
      <c r="M55" s="30" t="str"/>
      <c r="N55" s="30" t="str"/>
      <c r="O55" s="30" t="inlineStr">
        <is>
          <t>NOT TESTED</t>
        </is>
      </c>
      <c r="P55" s="30" t="str"/>
      <c r="Q55" s="31" t="str"/>
      <c r="R55" s="30" t="inlineStr">
        <is>
          <t>NO</t>
        </is>
      </c>
    </row>
    <row r="56">
      <c r="A56" s="29" t="str"/>
      <c r="B56" s="30" t="str"/>
      <c r="C56" s="30" t="str"/>
      <c r="D56" s="30" t="str"/>
      <c r="E56" s="30" t="str"/>
      <c r="F56" s="30" t="str"/>
      <c r="G56" s="30" t="str"/>
      <c r="H56" s="30" t="str"/>
      <c r="I56" s="30" t="str"/>
      <c r="J56" s="30" t="str"/>
      <c r="K56" s="30" t="inlineStr">
        <is>
          <t>OPEN</t>
        </is>
      </c>
      <c r="L56" s="30" t="str"/>
      <c r="M56" s="30" t="str"/>
      <c r="N56" s="30" t="str"/>
      <c r="O56" s="30" t="inlineStr">
        <is>
          <t>NOT TESTED</t>
        </is>
      </c>
      <c r="P56" s="30" t="str"/>
      <c r="Q56" s="31" t="str"/>
      <c r="R56" s="30" t="inlineStr">
        <is>
          <t>NO</t>
        </is>
      </c>
    </row>
    <row r="57">
      <c r="A57" s="29" t="str"/>
      <c r="B57" s="30" t="str"/>
      <c r="C57" s="30" t="str"/>
      <c r="D57" s="30" t="str"/>
      <c r="E57" s="30" t="str"/>
      <c r="F57" s="30" t="str"/>
      <c r="G57" s="30" t="str"/>
      <c r="H57" s="30" t="str"/>
      <c r="I57" s="30" t="str"/>
      <c r="J57" s="30" t="str"/>
      <c r="K57" s="30" t="inlineStr">
        <is>
          <t>OPEN</t>
        </is>
      </c>
      <c r="L57" s="30" t="str"/>
      <c r="M57" s="30" t="str"/>
      <c r="N57" s="30" t="str"/>
      <c r="O57" s="30" t="inlineStr">
        <is>
          <t>NOT TESTED</t>
        </is>
      </c>
      <c r="P57" s="30" t="str"/>
      <c r="Q57" s="31" t="str"/>
      <c r="R57" s="30" t="inlineStr">
        <is>
          <t>NO</t>
        </is>
      </c>
    </row>
    <row r="58">
      <c r="A58" s="29" t="str"/>
      <c r="B58" s="30" t="str"/>
      <c r="C58" s="30" t="str"/>
      <c r="D58" s="30" t="str"/>
      <c r="E58" s="30" t="str"/>
      <c r="F58" s="30" t="str"/>
      <c r="G58" s="30" t="str"/>
      <c r="H58" s="30" t="str"/>
      <c r="I58" s="30" t="str"/>
      <c r="J58" s="30" t="str"/>
      <c r="K58" s="30" t="inlineStr">
        <is>
          <t>OPEN</t>
        </is>
      </c>
      <c r="L58" s="30" t="str"/>
      <c r="M58" s="30" t="str"/>
      <c r="N58" s="30" t="str"/>
      <c r="O58" s="30" t="inlineStr">
        <is>
          <t>NOT TESTED</t>
        </is>
      </c>
      <c r="P58" s="30" t="str"/>
      <c r="Q58" s="31" t="str"/>
      <c r="R58" s="30" t="inlineStr">
        <is>
          <t>NO</t>
        </is>
      </c>
    </row>
    <row r="59">
      <c r="A59" s="29" t="str"/>
      <c r="B59" s="30" t="str"/>
      <c r="C59" s="30" t="str"/>
      <c r="D59" s="30" t="str"/>
      <c r="E59" s="30" t="str"/>
      <c r="F59" s="30" t="str"/>
      <c r="G59" s="30" t="str"/>
      <c r="H59" s="30" t="str"/>
      <c r="I59" s="30" t="str"/>
      <c r="J59" s="30" t="str"/>
      <c r="K59" s="30" t="inlineStr">
        <is>
          <t>OPEN</t>
        </is>
      </c>
      <c r="L59" s="30" t="str"/>
      <c r="M59" s="30" t="str"/>
      <c r="N59" s="30" t="str"/>
      <c r="O59" s="30" t="inlineStr">
        <is>
          <t>NOT TESTED</t>
        </is>
      </c>
      <c r="P59" s="30" t="str"/>
      <c r="Q59" s="31" t="str"/>
      <c r="R59" s="30" t="inlineStr">
        <is>
          <t>NO</t>
        </is>
      </c>
    </row>
    <row r="60">
      <c r="A60" s="29" t="str"/>
      <c r="B60" s="30" t="str"/>
      <c r="C60" s="30" t="str"/>
      <c r="D60" s="30" t="str"/>
      <c r="E60" s="30" t="str"/>
      <c r="F60" s="30" t="str"/>
      <c r="G60" s="30" t="str"/>
      <c r="H60" s="30" t="str"/>
      <c r="I60" s="30" t="str"/>
      <c r="J60" s="30" t="str"/>
      <c r="K60" s="30" t="inlineStr">
        <is>
          <t>OPEN</t>
        </is>
      </c>
      <c r="L60" s="30" t="str"/>
      <c r="M60" s="30" t="str"/>
      <c r="N60" s="30" t="str"/>
      <c r="O60" s="30" t="inlineStr">
        <is>
          <t>NOT TESTED</t>
        </is>
      </c>
      <c r="P60" s="30" t="str"/>
      <c r="Q60" s="31" t="str"/>
      <c r="R60" s="30" t="inlineStr">
        <is>
          <t>NO</t>
        </is>
      </c>
    </row>
    <row r="61">
      <c r="A61" s="29" t="str"/>
      <c r="B61" s="30" t="str"/>
      <c r="C61" s="30" t="str"/>
      <c r="D61" s="30" t="str"/>
      <c r="E61" s="30" t="str"/>
      <c r="F61" s="30" t="str"/>
      <c r="G61" s="30" t="str"/>
      <c r="H61" s="30" t="str"/>
      <c r="I61" s="30" t="str"/>
      <c r="J61" s="30" t="str"/>
      <c r="K61" s="30" t="inlineStr">
        <is>
          <t>OPEN</t>
        </is>
      </c>
      <c r="L61" s="30" t="str"/>
      <c r="M61" s="30" t="str"/>
      <c r="N61" s="30" t="str"/>
      <c r="O61" s="30" t="inlineStr">
        <is>
          <t>NOT TESTED</t>
        </is>
      </c>
      <c r="P61" s="30" t="str"/>
      <c r="Q61" s="31" t="str"/>
      <c r="R61" s="30" t="inlineStr">
        <is>
          <t>NO</t>
        </is>
      </c>
    </row>
    <row r="62">
      <c r="A62" s="29" t="str"/>
      <c r="B62" s="30" t="str"/>
      <c r="C62" s="30" t="str"/>
      <c r="D62" s="30" t="str"/>
      <c r="E62" s="30" t="str"/>
      <c r="F62" s="30" t="str"/>
      <c r="G62" s="30" t="str"/>
      <c r="H62" s="30" t="str"/>
      <c r="I62" s="30" t="str"/>
      <c r="J62" s="30" t="str"/>
      <c r="K62" s="30" t="inlineStr">
        <is>
          <t>OPEN</t>
        </is>
      </c>
      <c r="L62" s="30" t="str"/>
      <c r="M62" s="30" t="str"/>
      <c r="N62" s="30" t="str"/>
      <c r="O62" s="30" t="inlineStr">
        <is>
          <t>NOT TESTED</t>
        </is>
      </c>
      <c r="P62" s="30" t="str"/>
      <c r="Q62" s="31" t="str"/>
      <c r="R62" s="30" t="inlineStr">
        <is>
          <t>NO</t>
        </is>
      </c>
    </row>
    <row r="63">
      <c r="A63" s="29" t="str"/>
      <c r="B63" s="30" t="str"/>
      <c r="C63" s="30" t="str"/>
      <c r="D63" s="30" t="str"/>
      <c r="E63" s="30" t="str"/>
      <c r="F63" s="30" t="str"/>
      <c r="G63" s="30" t="str"/>
      <c r="H63" s="30" t="str"/>
      <c r="I63" s="30" t="str"/>
      <c r="J63" s="30" t="str"/>
      <c r="K63" s="30" t="inlineStr">
        <is>
          <t>OPEN</t>
        </is>
      </c>
      <c r="L63" s="30" t="str"/>
      <c r="M63" s="30" t="str"/>
      <c r="N63" s="30" t="str"/>
      <c r="O63" s="30" t="inlineStr">
        <is>
          <t>NOT TESTED</t>
        </is>
      </c>
      <c r="P63" s="30" t="str"/>
      <c r="Q63" s="31" t="str"/>
      <c r="R63" s="30" t="inlineStr">
        <is>
          <t>NO</t>
        </is>
      </c>
    </row>
    <row r="64">
      <c r="A64" s="29" t="str"/>
      <c r="B64" s="30" t="str"/>
      <c r="C64" s="30" t="str"/>
      <c r="D64" s="30" t="str"/>
      <c r="E64" s="30" t="str"/>
      <c r="F64" s="30" t="str"/>
      <c r="G64" s="30" t="str"/>
      <c r="H64" s="30" t="str"/>
      <c r="I64" s="30" t="str"/>
      <c r="J64" s="30" t="str"/>
      <c r="K64" s="30" t="inlineStr">
        <is>
          <t>OPEN</t>
        </is>
      </c>
      <c r="L64" s="30" t="str"/>
      <c r="M64" s="30" t="str"/>
      <c r="N64" s="30" t="str"/>
      <c r="O64" s="30" t="inlineStr">
        <is>
          <t>NOT TESTED</t>
        </is>
      </c>
      <c r="P64" s="30" t="str"/>
      <c r="Q64" s="31" t="str"/>
      <c r="R64" s="30" t="inlineStr">
        <is>
          <t>NO</t>
        </is>
      </c>
    </row>
    <row r="65">
      <c r="A65" s="29" t="str"/>
      <c r="B65" s="30" t="str"/>
      <c r="C65" s="30" t="str"/>
      <c r="D65" s="30" t="str"/>
      <c r="E65" s="30" t="str"/>
      <c r="F65" s="30" t="str"/>
      <c r="G65" s="30" t="str"/>
      <c r="H65" s="30" t="str"/>
      <c r="I65" s="30" t="str"/>
      <c r="J65" s="30" t="str"/>
      <c r="K65" s="30" t="inlineStr">
        <is>
          <t>OPEN</t>
        </is>
      </c>
      <c r="L65" s="30" t="str"/>
      <c r="M65" s="30" t="str"/>
      <c r="N65" s="30" t="str"/>
      <c r="O65" s="30" t="inlineStr">
        <is>
          <t>NOT TESTED</t>
        </is>
      </c>
      <c r="P65" s="30" t="str"/>
      <c r="Q65" s="31" t="str"/>
      <c r="R65" s="30" t="inlineStr">
        <is>
          <t>NO</t>
        </is>
      </c>
    </row>
    <row r="66">
      <c r="A66" s="29" t="str"/>
      <c r="B66" s="30" t="str"/>
      <c r="C66" s="30" t="str"/>
      <c r="D66" s="30" t="str"/>
      <c r="E66" s="30" t="str"/>
      <c r="F66" s="30" t="str"/>
      <c r="G66" s="30" t="str"/>
      <c r="H66" s="30" t="str"/>
      <c r="I66" s="30" t="str"/>
      <c r="J66" s="30" t="str"/>
      <c r="K66" s="30" t="inlineStr">
        <is>
          <t>OPEN</t>
        </is>
      </c>
      <c r="L66" s="30" t="str"/>
      <c r="M66" s="30" t="str"/>
      <c r="N66" s="30" t="str"/>
      <c r="O66" s="30" t="inlineStr">
        <is>
          <t>NOT TESTED</t>
        </is>
      </c>
      <c r="P66" s="30" t="str"/>
      <c r="Q66" s="31" t="str"/>
      <c r="R66" s="30" t="inlineStr">
        <is>
          <t>NO</t>
        </is>
      </c>
    </row>
    <row r="67">
      <c r="A67" s="29" t="str"/>
      <c r="B67" s="30" t="str"/>
      <c r="C67" s="30" t="str"/>
      <c r="D67" s="30" t="str"/>
      <c r="E67" s="30" t="str"/>
      <c r="F67" s="30" t="str"/>
      <c r="G67" s="30" t="str"/>
      <c r="H67" s="30" t="str"/>
      <c r="I67" s="30" t="str"/>
      <c r="J67" s="30" t="str"/>
      <c r="K67" s="30" t="inlineStr">
        <is>
          <t>OPEN</t>
        </is>
      </c>
      <c r="L67" s="30" t="str"/>
      <c r="M67" s="30" t="str"/>
      <c r="N67" s="30" t="str"/>
      <c r="O67" s="30" t="inlineStr">
        <is>
          <t>NOT TESTED</t>
        </is>
      </c>
      <c r="P67" s="30" t="str"/>
      <c r="Q67" s="31" t="str"/>
      <c r="R67" s="30" t="inlineStr">
        <is>
          <t>NO</t>
        </is>
      </c>
    </row>
    <row r="68">
      <c r="A68" s="29" t="str"/>
      <c r="B68" s="30" t="str"/>
      <c r="C68" s="30" t="str"/>
      <c r="D68" s="30" t="str"/>
      <c r="E68" s="30" t="str"/>
      <c r="F68" s="30" t="str"/>
      <c r="G68" s="30" t="str"/>
      <c r="H68" s="30" t="str"/>
      <c r="I68" s="30" t="str"/>
      <c r="J68" s="30" t="str"/>
      <c r="K68" s="30" t="inlineStr">
        <is>
          <t>OPEN</t>
        </is>
      </c>
      <c r="L68" s="30" t="str"/>
      <c r="M68" s="30" t="str"/>
      <c r="N68" s="30" t="str"/>
      <c r="O68" s="30" t="inlineStr">
        <is>
          <t>NOT TESTED</t>
        </is>
      </c>
      <c r="P68" s="30" t="str"/>
      <c r="Q68" s="31" t="str"/>
      <c r="R68" s="30" t="inlineStr">
        <is>
          <t>NO</t>
        </is>
      </c>
    </row>
    <row r="69">
      <c r="A69" s="29" t="str"/>
      <c r="B69" s="30" t="str"/>
      <c r="C69" s="30" t="str"/>
      <c r="D69" s="30" t="str"/>
      <c r="E69" s="30" t="str"/>
      <c r="F69" s="30" t="str"/>
      <c r="G69" s="30" t="str"/>
      <c r="H69" s="30" t="str"/>
      <c r="I69" s="30" t="str"/>
      <c r="J69" s="30" t="str"/>
      <c r="K69" s="30" t="inlineStr">
        <is>
          <t>OPEN</t>
        </is>
      </c>
      <c r="L69" s="30" t="str"/>
      <c r="M69" s="30" t="str"/>
      <c r="N69" s="30" t="str"/>
      <c r="O69" s="30" t="inlineStr">
        <is>
          <t>NOT TESTED</t>
        </is>
      </c>
      <c r="P69" s="30" t="str"/>
      <c r="Q69" s="31" t="str"/>
      <c r="R69" s="30" t="inlineStr">
        <is>
          <t>NO</t>
        </is>
      </c>
    </row>
    <row r="70">
      <c r="A70" s="29" t="str"/>
      <c r="B70" s="30" t="str"/>
      <c r="C70" s="30" t="str"/>
      <c r="D70" s="30" t="str"/>
      <c r="E70" s="30" t="str"/>
      <c r="F70" s="30" t="str"/>
      <c r="G70" s="30" t="str"/>
      <c r="H70" s="30" t="str"/>
      <c r="I70" s="30" t="str"/>
      <c r="J70" s="30" t="str"/>
      <c r="K70" s="30" t="inlineStr">
        <is>
          <t>OPEN</t>
        </is>
      </c>
      <c r="L70" s="30" t="str"/>
      <c r="M70" s="30" t="str"/>
      <c r="N70" s="30" t="str"/>
      <c r="O70" s="30" t="inlineStr">
        <is>
          <t>NOT TESTED</t>
        </is>
      </c>
      <c r="P70" s="30" t="str"/>
      <c r="Q70" s="31" t="str"/>
      <c r="R70" s="30" t="inlineStr">
        <is>
          <t>NO</t>
        </is>
      </c>
    </row>
    <row r="71">
      <c r="A71" s="29" t="str"/>
      <c r="B71" s="30" t="str"/>
      <c r="C71" s="30" t="str"/>
      <c r="D71" s="30" t="str"/>
      <c r="E71" s="30" t="str"/>
      <c r="F71" s="30" t="str"/>
      <c r="G71" s="30" t="str"/>
      <c r="H71" s="30" t="str"/>
      <c r="I71" s="30" t="str"/>
      <c r="J71" s="30" t="str"/>
      <c r="K71" s="30" t="inlineStr">
        <is>
          <t>OPEN</t>
        </is>
      </c>
      <c r="L71" s="30" t="str"/>
      <c r="M71" s="30" t="str"/>
      <c r="N71" s="30" t="str"/>
      <c r="O71" s="30" t="inlineStr">
        <is>
          <t>NOT TESTED</t>
        </is>
      </c>
      <c r="P71" s="30" t="str"/>
      <c r="Q71" s="31" t="str"/>
      <c r="R71" s="30" t="inlineStr">
        <is>
          <t>NO</t>
        </is>
      </c>
    </row>
    <row r="72">
      <c r="A72" s="29" t="str"/>
      <c r="B72" s="30" t="str"/>
      <c r="C72" s="30" t="str"/>
      <c r="D72" s="30" t="str"/>
      <c r="E72" s="30" t="str"/>
      <c r="F72" s="30" t="str"/>
      <c r="G72" s="30" t="str"/>
      <c r="H72" s="30" t="str"/>
      <c r="I72" s="30" t="str"/>
      <c r="J72" s="30" t="str"/>
      <c r="K72" s="30" t="inlineStr">
        <is>
          <t>OPEN</t>
        </is>
      </c>
      <c r="L72" s="30" t="str"/>
      <c r="M72" s="30" t="str"/>
      <c r="N72" s="30" t="str"/>
      <c r="O72" s="30" t="inlineStr">
        <is>
          <t>NOT TESTED</t>
        </is>
      </c>
      <c r="P72" s="30" t="str"/>
      <c r="Q72" s="31" t="str"/>
      <c r="R72" s="30" t="inlineStr">
        <is>
          <t>NO</t>
        </is>
      </c>
    </row>
    <row r="73">
      <c r="A73" s="29" t="str"/>
      <c r="B73" s="30" t="str"/>
      <c r="C73" s="30" t="str"/>
      <c r="D73" s="30" t="str"/>
      <c r="E73" s="30" t="str"/>
      <c r="F73" s="30" t="str"/>
      <c r="G73" s="30" t="str"/>
      <c r="H73" s="30" t="str"/>
      <c r="I73" s="30" t="str"/>
      <c r="J73" s="30" t="str"/>
      <c r="K73" s="30" t="inlineStr">
        <is>
          <t>OPEN</t>
        </is>
      </c>
      <c r="L73" s="30" t="str"/>
      <c r="M73" s="30" t="str"/>
      <c r="N73" s="30" t="str"/>
      <c r="O73" s="30" t="inlineStr">
        <is>
          <t>NOT TESTED</t>
        </is>
      </c>
      <c r="P73" s="30" t="str"/>
      <c r="Q73" s="31" t="str"/>
      <c r="R73" s="30" t="inlineStr">
        <is>
          <t>NO</t>
        </is>
      </c>
    </row>
    <row r="74">
      <c r="A74" s="29" t="str"/>
      <c r="B74" s="30" t="str"/>
      <c r="C74" s="30" t="str"/>
      <c r="D74" s="30" t="str"/>
      <c r="E74" s="30" t="str"/>
      <c r="F74" s="30" t="str"/>
      <c r="G74" s="30" t="str"/>
      <c r="H74" s="30" t="str"/>
      <c r="I74" s="30" t="str"/>
      <c r="J74" s="30" t="str"/>
      <c r="K74" s="30" t="inlineStr">
        <is>
          <t>OPEN</t>
        </is>
      </c>
      <c r="L74" s="30" t="str"/>
      <c r="M74" s="30" t="str"/>
      <c r="N74" s="30" t="str"/>
      <c r="O74" s="30" t="inlineStr">
        <is>
          <t>NOT TESTED</t>
        </is>
      </c>
      <c r="P74" s="30" t="str"/>
      <c r="Q74" s="31" t="str"/>
      <c r="R74" s="30" t="inlineStr">
        <is>
          <t>NO</t>
        </is>
      </c>
    </row>
    <row r="75">
      <c r="A75" s="29" t="str"/>
      <c r="B75" s="30" t="str"/>
      <c r="C75" s="30" t="str"/>
      <c r="D75" s="30" t="str"/>
      <c r="E75" s="30" t="str"/>
      <c r="F75" s="30" t="str"/>
      <c r="G75" s="30" t="str"/>
      <c r="H75" s="30" t="str"/>
      <c r="I75" s="30" t="str"/>
      <c r="J75" s="30" t="str"/>
      <c r="K75" s="30" t="inlineStr">
        <is>
          <t>OPEN</t>
        </is>
      </c>
      <c r="L75" s="30" t="str"/>
      <c r="M75" s="30" t="str"/>
      <c r="N75" s="30" t="str"/>
      <c r="O75" s="30" t="inlineStr">
        <is>
          <t>NOT TESTED</t>
        </is>
      </c>
      <c r="P75" s="30" t="str"/>
      <c r="Q75" s="31" t="str"/>
      <c r="R75" s="30" t="inlineStr">
        <is>
          <t>NO</t>
        </is>
      </c>
    </row>
    <row r="76">
      <c r="A76" s="29" t="str"/>
      <c r="B76" s="30" t="str"/>
      <c r="C76" s="30" t="str"/>
      <c r="D76" s="30" t="str"/>
      <c r="E76" s="30" t="str"/>
      <c r="F76" s="30" t="str"/>
      <c r="G76" s="30" t="str"/>
      <c r="H76" s="30" t="str"/>
      <c r="I76" s="30" t="str"/>
      <c r="J76" s="30" t="str"/>
      <c r="K76" s="30" t="inlineStr">
        <is>
          <t>OPEN</t>
        </is>
      </c>
      <c r="L76" s="30" t="str"/>
      <c r="M76" s="30" t="str"/>
      <c r="N76" s="30" t="str"/>
      <c r="O76" s="30" t="inlineStr">
        <is>
          <t>NOT TESTED</t>
        </is>
      </c>
      <c r="P76" s="30" t="str"/>
      <c r="Q76" s="31" t="str"/>
      <c r="R76" s="30" t="inlineStr">
        <is>
          <t>NO</t>
        </is>
      </c>
    </row>
    <row r="77">
      <c r="A77" s="29" t="str"/>
      <c r="B77" s="30" t="str"/>
      <c r="C77" s="30" t="str"/>
      <c r="D77" s="30" t="str"/>
      <c r="E77" s="30" t="str"/>
      <c r="F77" s="30" t="str"/>
      <c r="G77" s="30" t="str"/>
      <c r="H77" s="30" t="str"/>
      <c r="I77" s="30" t="str"/>
      <c r="J77" s="30" t="str"/>
      <c r="K77" s="30" t="inlineStr">
        <is>
          <t>OPEN</t>
        </is>
      </c>
      <c r="L77" s="30" t="str"/>
      <c r="M77" s="30" t="str"/>
      <c r="N77" s="30" t="str"/>
      <c r="O77" s="30" t="inlineStr">
        <is>
          <t>NOT TESTED</t>
        </is>
      </c>
      <c r="P77" s="30" t="str"/>
      <c r="Q77" s="31" t="str"/>
      <c r="R77" s="30" t="inlineStr">
        <is>
          <t>NO</t>
        </is>
      </c>
    </row>
    <row r="78">
      <c r="A78" s="29" t="str"/>
      <c r="B78" s="30" t="str"/>
      <c r="C78" s="30" t="str"/>
      <c r="D78" s="30" t="str"/>
      <c r="E78" s="30" t="str"/>
      <c r="F78" s="30" t="str"/>
      <c r="G78" s="30" t="str"/>
      <c r="H78" s="30" t="str"/>
      <c r="I78" s="30" t="str"/>
      <c r="J78" s="30" t="str"/>
      <c r="K78" s="30" t="inlineStr">
        <is>
          <t>OPEN</t>
        </is>
      </c>
      <c r="L78" s="30" t="str"/>
      <c r="M78" s="30" t="str"/>
      <c r="N78" s="30" t="str"/>
      <c r="O78" s="30" t="inlineStr">
        <is>
          <t>NOT TESTED</t>
        </is>
      </c>
      <c r="P78" s="30" t="str"/>
      <c r="Q78" s="31" t="str"/>
      <c r="R78" s="30" t="inlineStr">
        <is>
          <t>NO</t>
        </is>
      </c>
    </row>
    <row r="79">
      <c r="A79" s="29" t="str"/>
      <c r="B79" s="30" t="str"/>
      <c r="C79" s="30" t="str"/>
      <c r="D79" s="30" t="str"/>
      <c r="E79" s="30" t="str"/>
      <c r="F79" s="30" t="str"/>
      <c r="G79" s="30" t="str"/>
      <c r="H79" s="30" t="str"/>
      <c r="I79" s="30" t="str"/>
      <c r="J79" s="30" t="str"/>
      <c r="K79" s="30" t="inlineStr">
        <is>
          <t>OPEN</t>
        </is>
      </c>
      <c r="L79" s="30" t="str"/>
      <c r="M79" s="30" t="str"/>
      <c r="N79" s="30" t="str"/>
      <c r="O79" s="30" t="inlineStr">
        <is>
          <t>NOT TESTED</t>
        </is>
      </c>
      <c r="P79" s="30" t="str"/>
      <c r="Q79" s="31" t="str"/>
      <c r="R79" s="30" t="inlineStr">
        <is>
          <t>NO</t>
        </is>
      </c>
    </row>
    <row r="80">
      <c r="A80" s="29" t="str"/>
      <c r="B80" s="30" t="str"/>
      <c r="C80" s="30" t="str"/>
      <c r="D80" s="30" t="str"/>
      <c r="E80" s="30" t="str"/>
      <c r="F80" s="30" t="str"/>
      <c r="G80" s="30" t="str"/>
      <c r="H80" s="30" t="str"/>
      <c r="I80" s="30" t="str"/>
      <c r="J80" s="30" t="str"/>
      <c r="K80" s="30" t="inlineStr">
        <is>
          <t>OPEN</t>
        </is>
      </c>
      <c r="L80" s="30" t="str"/>
      <c r="M80" s="30" t="str"/>
      <c r="N80" s="30" t="str"/>
      <c r="O80" s="30" t="inlineStr">
        <is>
          <t>NOT TESTED</t>
        </is>
      </c>
      <c r="P80" s="30" t="str"/>
      <c r="Q80" s="31" t="str"/>
      <c r="R80" s="30" t="inlineStr">
        <is>
          <t>NO</t>
        </is>
      </c>
    </row>
    <row r="81">
      <c r="A81" s="29" t="str"/>
      <c r="B81" s="30" t="str"/>
      <c r="C81" s="30" t="str"/>
      <c r="D81" s="30" t="str"/>
      <c r="E81" s="30" t="str"/>
      <c r="F81" s="30" t="str"/>
      <c r="G81" s="30" t="str"/>
      <c r="H81" s="30" t="str"/>
      <c r="I81" s="30" t="str"/>
      <c r="J81" s="30" t="str"/>
      <c r="K81" s="30" t="inlineStr">
        <is>
          <t>OPEN</t>
        </is>
      </c>
      <c r="L81" s="30" t="str"/>
      <c r="M81" s="30" t="str"/>
      <c r="N81" s="30" t="str"/>
      <c r="O81" s="30" t="inlineStr">
        <is>
          <t>NOT TESTED</t>
        </is>
      </c>
      <c r="P81" s="30" t="str"/>
      <c r="Q81" s="31" t="str"/>
      <c r="R81" s="30" t="inlineStr">
        <is>
          <t>NO</t>
        </is>
      </c>
    </row>
    <row r="82">
      <c r="A82" s="32" t="str"/>
      <c r="B82" s="33" t="str"/>
      <c r="C82" s="33" t="str"/>
      <c r="D82" s="33" t="str"/>
      <c r="E82" s="33" t="str"/>
      <c r="F82" s="33" t="str"/>
      <c r="G82" s="33" t="str"/>
      <c r="H82" s="33" t="str"/>
      <c r="I82" s="33" t="str"/>
      <c r="J82" s="33" t="str"/>
      <c r="K82" s="33" t="inlineStr">
        <is>
          <t>OPEN</t>
        </is>
      </c>
      <c r="L82" s="33" t="str"/>
      <c r="M82" s="33" t="str"/>
      <c r="N82" s="33" t="str"/>
      <c r="O82" s="33" t="inlineStr">
        <is>
          <t>NOT TESTED</t>
        </is>
      </c>
      <c r="P82" s="33" t="str"/>
      <c r="Q82" s="34" t="str"/>
      <c r="R82" s="30" t="inlineStr">
        <is>
          <t>NO</t>
        </is>
      </c>
    </row>
  </sheetData>
  <mergeCells count="1">
    <mergeCell ref="A1:R1"/>
  </mergeCells>
  <conditionalFormatting sqref="K3:K82">
    <cfRule type="expression" priority="1" dxfId="6">
      <formula>K3="OPEN"</formula>
    </cfRule>
    <cfRule type="expression" priority="2" dxfId="7">
      <formula>K3="CLOSED"</formula>
    </cfRule>
  </conditionalFormatting>
  <dataValidations count="6">
    <dataValidation sqref="H3:H82" showDropDown="0" showInputMessage="0" showErrorMessage="0" allowBlank="0" type="list">
      <formula1>Lists!$C$2:$C$5</formula1>
    </dataValidation>
    <dataValidation sqref="I3:I82" showDropDown="0" showInputMessage="0" showErrorMessage="0" allowBlank="0" type="list">
      <formula1>Lists!$B$2:$B$5</formula1>
    </dataValidation>
    <dataValidation sqref="O3:O82" showDropDown="0" showInputMessage="0" showErrorMessage="0" allowBlank="0" type="list">
      <formula1>Lists!$F$2:$F$5</formula1>
    </dataValidation>
    <dataValidation sqref="K3:K82" showDropDown="0" showInputMessage="0" showErrorMessage="0" allowBlank="0" type="list">
      <formula1>"OPEN,IN PROGRESS,FIXED,WONT FIX,DUPLICATE,CLOSED"</formula1>
    </dataValidation>
    <dataValidation sqref="C3:C82" showDropDown="0" showInputMessage="0" showErrorMessage="0" allowBlank="0" type="list">
      <formula1>Lists!$G$2:$G$7</formula1>
    </dataValidation>
    <dataValidation sqref="R3:R1000" showDropDown="0" showInputMessage="0" showErrorMessage="0" allowBlank="0" type="list">
      <formula1>Lists!$I$2:$I$3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2" customWidth="1" style="16" min="1" max="1"/>
    <col width="14" customWidth="1" style="16" min="2" max="2"/>
    <col width="24" customWidth="1" style="16" min="3" max="3"/>
    <col width="28" customWidth="1" style="16" min="4" max="4"/>
    <col width="30" customWidth="1" style="16" min="5" max="5"/>
    <col width="18" customWidth="1" style="16" min="6" max="6"/>
    <col width="16" customWidth="1" style="16" min="7" max="7"/>
    <col width="28" customWidth="1" style="16" min="8" max="8"/>
    <col width="10" customWidth="1" style="16" min="9" max="9"/>
    <col width="10" customWidth="1" style="16" min="10" max="10"/>
    <col width="10" customWidth="1" style="16" min="11" max="11"/>
    <col width="10" customWidth="1" style="16" min="12" max="12"/>
    <col width="14" customWidth="1" style="16" min="13" max="13"/>
    <col width="40" customWidth="1" style="16" min="14" max="14"/>
  </cols>
  <sheetData>
    <row r="1">
      <c r="A1" s="154" t="inlineStr">
        <is>
          <t>Test Run Log — історія перевірок build-ів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</row>
    <row r="2">
      <c r="A2" s="6" t="inlineStr">
        <is>
          <t>Run ID</t>
        </is>
      </c>
      <c r="B2" s="6" t="inlineStr">
        <is>
          <t>Date</t>
        </is>
      </c>
      <c r="C2" s="6" t="inlineStr">
        <is>
          <t>Build / Commit</t>
        </is>
      </c>
      <c r="D2" s="6" t="inlineStr">
        <is>
          <t>Platform / Device</t>
        </is>
      </c>
      <c r="E2" s="6" t="inlineStr">
        <is>
          <t>OS / Browser / WebView</t>
        </is>
      </c>
      <c r="F2" s="6" t="inlineStr">
        <is>
          <t>Environment</t>
        </is>
      </c>
      <c r="G2" s="6" t="inlineStr">
        <is>
          <t>Tester</t>
        </is>
      </c>
      <c r="H2" s="6" t="inlineStr">
        <is>
          <t>Scope</t>
        </is>
      </c>
      <c r="I2" s="6" t="inlineStr">
        <is>
          <t>Total</t>
        </is>
      </c>
      <c r="J2" s="6" t="inlineStr">
        <is>
          <t>Pass</t>
        </is>
      </c>
      <c r="K2" s="6" t="inlineStr">
        <is>
          <t>Fail</t>
        </is>
      </c>
      <c r="L2" s="6" t="inlineStr">
        <is>
          <t>Blocked</t>
        </is>
      </c>
      <c r="M2" s="6" t="inlineStr">
        <is>
          <t>Duration</t>
        </is>
      </c>
      <c r="N2" s="6" t="inlineStr">
        <is>
          <t>Notes</t>
        </is>
      </c>
    </row>
    <row r="3">
      <c r="A3" s="55" t="inlineStr">
        <is>
          <t>RUN-20260924-GUARDS</t>
        </is>
      </c>
      <c r="B3" s="56" t="inlineStr">
        <is>
          <t>2026-09-24</t>
        </is>
      </c>
      <c r="C3" s="56" t="inlineStr">
        <is>
          <t>main 793dc08</t>
        </is>
      </c>
      <c r="D3" s="56" t="inlineStr">
        <is>
          <t>Windows x64 / seed DB + fixture DB</t>
        </is>
      </c>
      <c r="E3" s="56" t="inlineStr">
        <is>
          <t>Windows 11 / Python 3.13</t>
        </is>
      </c>
      <c r="F3" s="56" t="inlineStr">
        <is>
          <t>local</t>
        </is>
      </c>
      <c r="G3" s="56" t="inlineStr">
        <is>
          <t>manager</t>
        </is>
      </c>
      <c r="H3" s="56" t="inlineStr">
        <is>
          <t>calculator guards + persistence (fixture DB); production-DB tests blocked on seed DB</t>
        </is>
      </c>
      <c r="I3" s="56" t="n">
        <v>17</v>
      </c>
      <c r="J3" s="56" t="n">
        <v>11</v>
      </c>
      <c r="K3" s="56" t="n">
        <v>0</v>
      </c>
      <c r="L3" s="56" t="n">
        <v>6</v>
      </c>
      <c r="M3" s="56" t="inlineStr">
        <is>
          <t>~5s</t>
        </is>
      </c>
      <c r="N3" s="57" t="inlineStr">
        <is>
          <t>6 blocked: seed DB has 0 models, production DB only in private release v3.3.0</t>
        </is>
      </c>
    </row>
    <row r="4">
      <c r="A4" s="29" t="str"/>
      <c r="B4" s="30" t="str"/>
      <c r="C4" s="30" t="str"/>
      <c r="D4" s="30" t="str"/>
      <c r="E4" s="30" t="str"/>
      <c r="F4" s="30" t="str"/>
      <c r="G4" s="30" t="str"/>
      <c r="H4" s="30" t="str"/>
      <c r="I4" s="30" t="str"/>
      <c r="J4" s="30" t="str"/>
      <c r="K4" s="30" t="str"/>
      <c r="L4" s="30" t="str"/>
      <c r="M4" s="30" t="str"/>
      <c r="N4" s="31" t="str"/>
    </row>
    <row r="5">
      <c r="A5" s="29" t="str"/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  <c r="K5" s="30" t="str"/>
      <c r="L5" s="30" t="str"/>
      <c r="M5" s="30" t="str"/>
      <c r="N5" s="31" t="str"/>
    </row>
    <row r="6">
      <c r="A6" s="29" t="str"/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  <c r="K6" s="30" t="str"/>
      <c r="L6" s="30" t="str"/>
      <c r="M6" s="30" t="str"/>
      <c r="N6" s="31" t="str"/>
    </row>
    <row r="7">
      <c r="A7" s="29" t="str"/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  <c r="K7" s="30" t="str"/>
      <c r="L7" s="30" t="str"/>
      <c r="M7" s="30" t="str"/>
      <c r="N7" s="31" t="str"/>
    </row>
    <row r="8">
      <c r="A8" s="29" t="str"/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  <c r="K8" s="30" t="str"/>
      <c r="L8" s="30" t="str"/>
      <c r="M8" s="30" t="str"/>
      <c r="N8" s="31" t="str"/>
    </row>
    <row r="9">
      <c r="A9" s="29" t="str"/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  <c r="K9" s="30" t="str"/>
      <c r="L9" s="30" t="str"/>
      <c r="M9" s="30" t="str"/>
      <c r="N9" s="31" t="str"/>
    </row>
    <row r="10">
      <c r="A10" s="29" t="str"/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  <c r="K10" s="30" t="str"/>
      <c r="L10" s="30" t="str"/>
      <c r="M10" s="30" t="str"/>
      <c r="N10" s="31" t="str"/>
    </row>
    <row r="11">
      <c r="A11" s="29" t="str"/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  <c r="K11" s="30" t="str"/>
      <c r="L11" s="30" t="str"/>
      <c r="M11" s="30" t="str"/>
      <c r="N11" s="31" t="str"/>
    </row>
    <row r="12">
      <c r="A12" s="29" t="str"/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  <c r="K12" s="30" t="str"/>
      <c r="L12" s="30" t="str"/>
      <c r="M12" s="30" t="str"/>
      <c r="N12" s="31" t="str"/>
    </row>
    <row r="13">
      <c r="A13" s="29" t="str"/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  <c r="K13" s="30" t="str"/>
      <c r="L13" s="30" t="str"/>
      <c r="M13" s="30" t="str"/>
      <c r="N13" s="31" t="str"/>
    </row>
    <row r="14">
      <c r="A14" s="29" t="str"/>
      <c r="B14" s="30" t="str"/>
      <c r="C14" s="30" t="str"/>
      <c r="D14" s="30" t="str"/>
      <c r="E14" s="30" t="str"/>
      <c r="F14" s="30" t="str"/>
      <c r="G14" s="30" t="str"/>
      <c r="H14" s="30" t="str"/>
      <c r="I14" s="30" t="str"/>
      <c r="J14" s="30" t="str"/>
      <c r="K14" s="30" t="str"/>
      <c r="L14" s="30" t="str"/>
      <c r="M14" s="30" t="str"/>
      <c r="N14" s="31" t="str"/>
    </row>
    <row r="15">
      <c r="A15" s="29" t="str"/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 t="str"/>
      <c r="K15" s="30" t="str"/>
      <c r="L15" s="30" t="str"/>
      <c r="M15" s="30" t="str"/>
      <c r="N15" s="31" t="str"/>
    </row>
    <row r="16">
      <c r="A16" s="29" t="str"/>
      <c r="B16" s="30" t="str"/>
      <c r="C16" s="30" t="str"/>
      <c r="D16" s="30" t="str"/>
      <c r="E16" s="30" t="str"/>
      <c r="F16" s="30" t="str"/>
      <c r="G16" s="30" t="str"/>
      <c r="H16" s="30" t="str"/>
      <c r="I16" s="30" t="str"/>
      <c r="J16" s="30" t="str"/>
      <c r="K16" s="30" t="str"/>
      <c r="L16" s="30" t="str"/>
      <c r="M16" s="30" t="str"/>
      <c r="N16" s="31" t="str"/>
    </row>
    <row r="17">
      <c r="A17" s="29" t="str"/>
      <c r="B17" s="30" t="str"/>
      <c r="C17" s="30" t="str"/>
      <c r="D17" s="30" t="str"/>
      <c r="E17" s="30" t="str"/>
      <c r="F17" s="30" t="str"/>
      <c r="G17" s="30" t="str"/>
      <c r="H17" s="30" t="str"/>
      <c r="I17" s="30" t="str"/>
      <c r="J17" s="30" t="str"/>
      <c r="K17" s="30" t="str"/>
      <c r="L17" s="30" t="str"/>
      <c r="M17" s="30" t="str"/>
      <c r="N17" s="31" t="str"/>
    </row>
    <row r="18">
      <c r="A18" s="29" t="str"/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  <c r="K18" s="30" t="str"/>
      <c r="L18" s="30" t="str"/>
      <c r="M18" s="30" t="str"/>
      <c r="N18" s="31" t="str"/>
    </row>
    <row r="19">
      <c r="A19" s="29" t="str"/>
      <c r="B19" s="30" t="str"/>
      <c r="C19" s="30" t="str"/>
      <c r="D19" s="30" t="str"/>
      <c r="E19" s="30" t="str"/>
      <c r="F19" s="30" t="str"/>
      <c r="G19" s="30" t="str"/>
      <c r="H19" s="30" t="str"/>
      <c r="I19" s="30" t="str"/>
      <c r="J19" s="30" t="str"/>
      <c r="K19" s="30" t="str"/>
      <c r="L19" s="30" t="str"/>
      <c r="M19" s="30" t="str"/>
      <c r="N19" s="31" t="str"/>
    </row>
    <row r="20">
      <c r="A20" s="29" t="str"/>
      <c r="B20" s="30" t="str"/>
      <c r="C20" s="30" t="str"/>
      <c r="D20" s="30" t="str"/>
      <c r="E20" s="30" t="str"/>
      <c r="F20" s="30" t="str"/>
      <c r="G20" s="30" t="str"/>
      <c r="H20" s="30" t="str"/>
      <c r="I20" s="30" t="str"/>
      <c r="J20" s="30" t="str"/>
      <c r="K20" s="30" t="str"/>
      <c r="L20" s="30" t="str"/>
      <c r="M20" s="30" t="str"/>
      <c r="N20" s="31" t="str"/>
    </row>
    <row r="21">
      <c r="A21" s="29" t="str"/>
      <c r="B21" s="30" t="str"/>
      <c r="C21" s="30" t="str"/>
      <c r="D21" s="30" t="str"/>
      <c r="E21" s="30" t="str"/>
      <c r="F21" s="30" t="str"/>
      <c r="G21" s="30" t="str"/>
      <c r="H21" s="30" t="str"/>
      <c r="I21" s="30" t="str"/>
      <c r="J21" s="30" t="str"/>
      <c r="K21" s="30" t="str"/>
      <c r="L21" s="30" t="str"/>
      <c r="M21" s="30" t="str"/>
      <c r="N21" s="31" t="str"/>
    </row>
    <row r="22">
      <c r="A22" s="29" t="str"/>
      <c r="B22" s="30" t="str"/>
      <c r="C22" s="30" t="str"/>
      <c r="D22" s="30" t="str"/>
      <c r="E22" s="30" t="str"/>
      <c r="F22" s="30" t="str"/>
      <c r="G22" s="30" t="str"/>
      <c r="H22" s="30" t="str"/>
      <c r="I22" s="30" t="str"/>
      <c r="J22" s="30" t="str"/>
      <c r="K22" s="30" t="str"/>
      <c r="L22" s="30" t="str"/>
      <c r="M22" s="30" t="str"/>
      <c r="N22" s="31" t="str"/>
    </row>
    <row r="23">
      <c r="A23" s="29" t="str"/>
      <c r="B23" s="30" t="str"/>
      <c r="C23" s="30" t="str"/>
      <c r="D23" s="30" t="str"/>
      <c r="E23" s="30" t="str"/>
      <c r="F23" s="30" t="str"/>
      <c r="G23" s="30" t="str"/>
      <c r="H23" s="30" t="str"/>
      <c r="I23" s="30" t="str"/>
      <c r="J23" s="30" t="str"/>
      <c r="K23" s="30" t="str"/>
      <c r="L23" s="30" t="str"/>
      <c r="M23" s="30" t="str"/>
      <c r="N23" s="31" t="str"/>
    </row>
    <row r="24">
      <c r="A24" s="29" t="str"/>
      <c r="B24" s="30" t="str"/>
      <c r="C24" s="30" t="str"/>
      <c r="D24" s="30" t="str"/>
      <c r="E24" s="30" t="str"/>
      <c r="F24" s="30" t="str"/>
      <c r="G24" s="30" t="str"/>
      <c r="H24" s="30" t="str"/>
      <c r="I24" s="30" t="str"/>
      <c r="J24" s="30" t="str"/>
      <c r="K24" s="30" t="str"/>
      <c r="L24" s="30" t="str"/>
      <c r="M24" s="30" t="str"/>
      <c r="N24" s="31" t="str"/>
    </row>
    <row r="25">
      <c r="A25" s="29" t="str"/>
      <c r="B25" s="30" t="str"/>
      <c r="C25" s="30" t="str"/>
      <c r="D25" s="30" t="str"/>
      <c r="E25" s="30" t="str"/>
      <c r="F25" s="30" t="str"/>
      <c r="G25" s="30" t="str"/>
      <c r="H25" s="30" t="str"/>
      <c r="I25" s="30" t="str"/>
      <c r="J25" s="30" t="str"/>
      <c r="K25" s="30" t="str"/>
      <c r="L25" s="30" t="str"/>
      <c r="M25" s="30" t="str"/>
      <c r="N25" s="31" t="str"/>
    </row>
    <row r="26">
      <c r="A26" s="29" t="str"/>
      <c r="B26" s="30" t="str"/>
      <c r="C26" s="30" t="str"/>
      <c r="D26" s="30" t="str"/>
      <c r="E26" s="30" t="str"/>
      <c r="F26" s="30" t="str"/>
      <c r="G26" s="30" t="str"/>
      <c r="H26" s="30" t="str"/>
      <c r="I26" s="30" t="str"/>
      <c r="J26" s="30" t="str"/>
      <c r="K26" s="30" t="str"/>
      <c r="L26" s="30" t="str"/>
      <c r="M26" s="30" t="str"/>
      <c r="N26" s="31" t="str"/>
    </row>
    <row r="27">
      <c r="A27" s="29" t="str"/>
      <c r="B27" s="30" t="str"/>
      <c r="C27" s="30" t="str"/>
      <c r="D27" s="30" t="str"/>
      <c r="E27" s="30" t="str"/>
      <c r="F27" s="30" t="str"/>
      <c r="G27" s="30" t="str"/>
      <c r="H27" s="30" t="str"/>
      <c r="I27" s="30" t="str"/>
      <c r="J27" s="30" t="str"/>
      <c r="K27" s="30" t="str"/>
      <c r="L27" s="30" t="str"/>
      <c r="M27" s="30" t="str"/>
      <c r="N27" s="31" t="str"/>
    </row>
    <row r="28">
      <c r="A28" s="29" t="str"/>
      <c r="B28" s="30" t="str"/>
      <c r="C28" s="30" t="str"/>
      <c r="D28" s="30" t="str"/>
      <c r="E28" s="30" t="str"/>
      <c r="F28" s="30" t="str"/>
      <c r="G28" s="30" t="str"/>
      <c r="H28" s="30" t="str"/>
      <c r="I28" s="30" t="str"/>
      <c r="J28" s="30" t="str"/>
      <c r="K28" s="30" t="str"/>
      <c r="L28" s="30" t="str"/>
      <c r="M28" s="30" t="str"/>
      <c r="N28" s="31" t="str"/>
    </row>
    <row r="29">
      <c r="A29" s="29" t="str"/>
      <c r="B29" s="30" t="str"/>
      <c r="C29" s="30" t="str"/>
      <c r="D29" s="30" t="str"/>
      <c r="E29" s="30" t="str"/>
      <c r="F29" s="30" t="str"/>
      <c r="G29" s="30" t="str"/>
      <c r="H29" s="30" t="str"/>
      <c r="I29" s="30" t="str"/>
      <c r="J29" s="30" t="str"/>
      <c r="K29" s="30" t="str"/>
      <c r="L29" s="30" t="str"/>
      <c r="M29" s="30" t="str"/>
      <c r="N29" s="31" t="str"/>
    </row>
    <row r="30">
      <c r="A30" s="29" t="str"/>
      <c r="B30" s="30" t="str"/>
      <c r="C30" s="30" t="str"/>
      <c r="D30" s="30" t="str"/>
      <c r="E30" s="30" t="str"/>
      <c r="F30" s="30" t="str"/>
      <c r="G30" s="30" t="str"/>
      <c r="H30" s="30" t="str"/>
      <c r="I30" s="30" t="str"/>
      <c r="J30" s="30" t="str"/>
      <c r="K30" s="30" t="str"/>
      <c r="L30" s="30" t="str"/>
      <c r="M30" s="30" t="str"/>
      <c r="N30" s="31" t="str"/>
    </row>
    <row r="31">
      <c r="A31" s="29" t="str"/>
      <c r="B31" s="30" t="str"/>
      <c r="C31" s="30" t="str"/>
      <c r="D31" s="30" t="str"/>
      <c r="E31" s="30" t="str"/>
      <c r="F31" s="30" t="str"/>
      <c r="G31" s="30" t="str"/>
      <c r="H31" s="30" t="str"/>
      <c r="I31" s="30" t="str"/>
      <c r="J31" s="30" t="str"/>
      <c r="K31" s="30" t="str"/>
      <c r="L31" s="30" t="str"/>
      <c r="M31" s="30" t="str"/>
      <c r="N31" s="31" t="str"/>
    </row>
    <row r="32">
      <c r="A32" s="29" t="str"/>
      <c r="B32" s="30" t="str"/>
      <c r="C32" s="30" t="str"/>
      <c r="D32" s="30" t="str"/>
      <c r="E32" s="30" t="str"/>
      <c r="F32" s="30" t="str"/>
      <c r="G32" s="30" t="str"/>
      <c r="H32" s="30" t="str"/>
      <c r="I32" s="30" t="str"/>
      <c r="J32" s="30" t="str"/>
      <c r="K32" s="30" t="str"/>
      <c r="L32" s="30" t="str"/>
      <c r="M32" s="30" t="str"/>
      <c r="N32" s="31" t="str"/>
    </row>
    <row r="33">
      <c r="A33" s="29" t="str"/>
      <c r="B33" s="30" t="str"/>
      <c r="C33" s="30" t="str"/>
      <c r="D33" s="30" t="str"/>
      <c r="E33" s="30" t="str"/>
      <c r="F33" s="30" t="str"/>
      <c r="G33" s="30" t="str"/>
      <c r="H33" s="30" t="str"/>
      <c r="I33" s="30" t="str"/>
      <c r="J33" s="30" t="str"/>
      <c r="K33" s="30" t="str"/>
      <c r="L33" s="30" t="str"/>
      <c r="M33" s="30" t="str"/>
      <c r="N33" s="31" t="str"/>
    </row>
    <row r="34">
      <c r="A34" s="29" t="str"/>
      <c r="B34" s="30" t="str"/>
      <c r="C34" s="30" t="str"/>
      <c r="D34" s="30" t="str"/>
      <c r="E34" s="30" t="str"/>
      <c r="F34" s="30" t="str"/>
      <c r="G34" s="30" t="str"/>
      <c r="H34" s="30" t="str"/>
      <c r="I34" s="30" t="str"/>
      <c r="J34" s="30" t="str"/>
      <c r="K34" s="30" t="str"/>
      <c r="L34" s="30" t="str"/>
      <c r="M34" s="30" t="str"/>
      <c r="N34" s="31" t="str"/>
    </row>
    <row r="35">
      <c r="A35" s="29" t="str"/>
      <c r="B35" s="30" t="str"/>
      <c r="C35" s="30" t="str"/>
      <c r="D35" s="30" t="str"/>
      <c r="E35" s="30" t="str"/>
      <c r="F35" s="30" t="str"/>
      <c r="G35" s="30" t="str"/>
      <c r="H35" s="30" t="str"/>
      <c r="I35" s="30" t="str"/>
      <c r="J35" s="30" t="str"/>
      <c r="K35" s="30" t="str"/>
      <c r="L35" s="30" t="str"/>
      <c r="M35" s="30" t="str"/>
      <c r="N35" s="31" t="str"/>
    </row>
    <row r="36">
      <c r="A36" s="29" t="str"/>
      <c r="B36" s="30" t="str"/>
      <c r="C36" s="30" t="str"/>
      <c r="D36" s="30" t="str"/>
      <c r="E36" s="30" t="str"/>
      <c r="F36" s="30" t="str"/>
      <c r="G36" s="30" t="str"/>
      <c r="H36" s="30" t="str"/>
      <c r="I36" s="30" t="str"/>
      <c r="J36" s="30" t="str"/>
      <c r="K36" s="30" t="str"/>
      <c r="L36" s="30" t="str"/>
      <c r="M36" s="30" t="str"/>
      <c r="N36" s="31" t="str"/>
    </row>
    <row r="37">
      <c r="A37" s="29" t="str"/>
      <c r="B37" s="30" t="str"/>
      <c r="C37" s="30" t="str"/>
      <c r="D37" s="30" t="str"/>
      <c r="E37" s="30" t="str"/>
      <c r="F37" s="30" t="str"/>
      <c r="G37" s="30" t="str"/>
      <c r="H37" s="30" t="str"/>
      <c r="I37" s="30" t="str"/>
      <c r="J37" s="30" t="str"/>
      <c r="K37" s="30" t="str"/>
      <c r="L37" s="30" t="str"/>
      <c r="M37" s="30" t="str"/>
      <c r="N37" s="31" t="str"/>
    </row>
    <row r="38">
      <c r="A38" s="29" t="str"/>
      <c r="B38" s="30" t="str"/>
      <c r="C38" s="30" t="str"/>
      <c r="D38" s="30" t="str"/>
      <c r="E38" s="30" t="str"/>
      <c r="F38" s="30" t="str"/>
      <c r="G38" s="30" t="str"/>
      <c r="H38" s="30" t="str"/>
      <c r="I38" s="30" t="str"/>
      <c r="J38" s="30" t="str"/>
      <c r="K38" s="30" t="str"/>
      <c r="L38" s="30" t="str"/>
      <c r="M38" s="30" t="str"/>
      <c r="N38" s="31" t="str"/>
    </row>
    <row r="39">
      <c r="A39" s="29" t="str"/>
      <c r="B39" s="30" t="str"/>
      <c r="C39" s="30" t="str"/>
      <c r="D39" s="30" t="str"/>
      <c r="E39" s="30" t="str"/>
      <c r="F39" s="30" t="str"/>
      <c r="G39" s="30" t="str"/>
      <c r="H39" s="30" t="str"/>
      <c r="I39" s="30" t="str"/>
      <c r="J39" s="30" t="str"/>
      <c r="K39" s="30" t="str"/>
      <c r="L39" s="30" t="str"/>
      <c r="M39" s="30" t="str"/>
      <c r="N39" s="31" t="str"/>
    </row>
    <row r="40">
      <c r="A40" s="29" t="str"/>
      <c r="B40" s="30" t="str"/>
      <c r="C40" s="30" t="str"/>
      <c r="D40" s="30" t="str"/>
      <c r="E40" s="30" t="str"/>
      <c r="F40" s="30" t="str"/>
      <c r="G40" s="30" t="str"/>
      <c r="H40" s="30" t="str"/>
      <c r="I40" s="30" t="str"/>
      <c r="J40" s="30" t="str"/>
      <c r="K40" s="30" t="str"/>
      <c r="L40" s="30" t="str"/>
      <c r="M40" s="30" t="str"/>
      <c r="N40" s="31" t="str"/>
    </row>
    <row r="41">
      <c r="A41" s="29" t="str"/>
      <c r="B41" s="30" t="str"/>
      <c r="C41" s="30" t="str"/>
      <c r="D41" s="30" t="str"/>
      <c r="E41" s="30" t="str"/>
      <c r="F41" s="30" t="str"/>
      <c r="G41" s="30" t="str"/>
      <c r="H41" s="30" t="str"/>
      <c r="I41" s="30" t="str"/>
      <c r="J41" s="30" t="str"/>
      <c r="K41" s="30" t="str"/>
      <c r="L41" s="30" t="str"/>
      <c r="M41" s="30" t="str"/>
      <c r="N41" s="31" t="str"/>
    </row>
    <row r="42">
      <c r="A42" s="29" t="str"/>
      <c r="B42" s="30" t="str"/>
      <c r="C42" s="30" t="str"/>
      <c r="D42" s="30" t="str"/>
      <c r="E42" s="30" t="str"/>
      <c r="F42" s="30" t="str"/>
      <c r="G42" s="30" t="str"/>
      <c r="H42" s="30" t="str"/>
      <c r="I42" s="30" t="str"/>
      <c r="J42" s="30" t="str"/>
      <c r="K42" s="30" t="str"/>
      <c r="L42" s="30" t="str"/>
      <c r="M42" s="30" t="str"/>
      <c r="N42" s="31" t="str"/>
    </row>
    <row r="43">
      <c r="A43" s="29" t="str"/>
      <c r="B43" s="30" t="str"/>
      <c r="C43" s="30" t="str"/>
      <c r="D43" s="30" t="str"/>
      <c r="E43" s="30" t="str"/>
      <c r="F43" s="30" t="str"/>
      <c r="G43" s="30" t="str"/>
      <c r="H43" s="30" t="str"/>
      <c r="I43" s="30" t="str"/>
      <c r="J43" s="30" t="str"/>
      <c r="K43" s="30" t="str"/>
      <c r="L43" s="30" t="str"/>
      <c r="M43" s="30" t="str"/>
      <c r="N43" s="31" t="str"/>
    </row>
    <row r="44">
      <c r="A44" s="29" t="str"/>
      <c r="B44" s="30" t="str"/>
      <c r="C44" s="30" t="str"/>
      <c r="D44" s="30" t="str"/>
      <c r="E44" s="30" t="str"/>
      <c r="F44" s="30" t="str"/>
      <c r="G44" s="30" t="str"/>
      <c r="H44" s="30" t="str"/>
      <c r="I44" s="30" t="str"/>
      <c r="J44" s="30" t="str"/>
      <c r="K44" s="30" t="str"/>
      <c r="L44" s="30" t="str"/>
      <c r="M44" s="30" t="str"/>
      <c r="N44" s="31" t="str"/>
    </row>
    <row r="45">
      <c r="A45" s="29" t="str"/>
      <c r="B45" s="30" t="str"/>
      <c r="C45" s="30" t="str"/>
      <c r="D45" s="30" t="str"/>
      <c r="E45" s="30" t="str"/>
      <c r="F45" s="30" t="str"/>
      <c r="G45" s="30" t="str"/>
      <c r="H45" s="30" t="str"/>
      <c r="I45" s="30" t="str"/>
      <c r="J45" s="30" t="str"/>
      <c r="K45" s="30" t="str"/>
      <c r="L45" s="30" t="str"/>
      <c r="M45" s="30" t="str"/>
      <c r="N45" s="31" t="str"/>
    </row>
    <row r="46">
      <c r="A46" s="29" t="str"/>
      <c r="B46" s="30" t="str"/>
      <c r="C46" s="30" t="str"/>
      <c r="D46" s="30" t="str"/>
      <c r="E46" s="30" t="str"/>
      <c r="F46" s="30" t="str"/>
      <c r="G46" s="30" t="str"/>
      <c r="H46" s="30" t="str"/>
      <c r="I46" s="30" t="str"/>
      <c r="J46" s="30" t="str"/>
      <c r="K46" s="30" t="str"/>
      <c r="L46" s="30" t="str"/>
      <c r="M46" s="30" t="str"/>
      <c r="N46" s="31" t="str"/>
    </row>
    <row r="47">
      <c r="A47" s="29" t="str"/>
      <c r="B47" s="30" t="str"/>
      <c r="C47" s="30" t="str"/>
      <c r="D47" s="30" t="str"/>
      <c r="E47" s="30" t="str"/>
      <c r="F47" s="30" t="str"/>
      <c r="G47" s="30" t="str"/>
      <c r="H47" s="30" t="str"/>
      <c r="I47" s="30" t="str"/>
      <c r="J47" s="30" t="str"/>
      <c r="K47" s="30" t="str"/>
      <c r="L47" s="30" t="str"/>
      <c r="M47" s="30" t="str"/>
      <c r="N47" s="31" t="str"/>
    </row>
    <row r="48">
      <c r="A48" s="29" t="str"/>
      <c r="B48" s="30" t="str"/>
      <c r="C48" s="30" t="str"/>
      <c r="D48" s="30" t="str"/>
      <c r="E48" s="30" t="str"/>
      <c r="F48" s="30" t="str"/>
      <c r="G48" s="30" t="str"/>
      <c r="H48" s="30" t="str"/>
      <c r="I48" s="30" t="str"/>
      <c r="J48" s="30" t="str"/>
      <c r="K48" s="30" t="str"/>
      <c r="L48" s="30" t="str"/>
      <c r="M48" s="30" t="str"/>
      <c r="N48" s="31" t="str"/>
    </row>
    <row r="49">
      <c r="A49" s="29" t="str"/>
      <c r="B49" s="30" t="str"/>
      <c r="C49" s="30" t="str"/>
      <c r="D49" s="30" t="str"/>
      <c r="E49" s="30" t="str"/>
      <c r="F49" s="30" t="str"/>
      <c r="G49" s="30" t="str"/>
      <c r="H49" s="30" t="str"/>
      <c r="I49" s="30" t="str"/>
      <c r="J49" s="30" t="str"/>
      <c r="K49" s="30" t="str"/>
      <c r="L49" s="30" t="str"/>
      <c r="M49" s="30" t="str"/>
      <c r="N49" s="31" t="str"/>
    </row>
    <row r="50">
      <c r="A50" s="29" t="str"/>
      <c r="B50" s="30" t="str"/>
      <c r="C50" s="30" t="str"/>
      <c r="D50" s="30" t="str"/>
      <c r="E50" s="30" t="str"/>
      <c r="F50" s="30" t="str"/>
      <c r="G50" s="30" t="str"/>
      <c r="H50" s="30" t="str"/>
      <c r="I50" s="30" t="str"/>
      <c r="J50" s="30" t="str"/>
      <c r="K50" s="30" t="str"/>
      <c r="L50" s="30" t="str"/>
      <c r="M50" s="30" t="str"/>
      <c r="N50" s="31" t="str"/>
    </row>
    <row r="51">
      <c r="A51" s="29" t="str"/>
      <c r="B51" s="30" t="str"/>
      <c r="C51" s="30" t="str"/>
      <c r="D51" s="30" t="str"/>
      <c r="E51" s="30" t="str"/>
      <c r="F51" s="30" t="str"/>
      <c r="G51" s="30" t="str"/>
      <c r="H51" s="30" t="str"/>
      <c r="I51" s="30" t="str"/>
      <c r="J51" s="30" t="str"/>
      <c r="K51" s="30" t="str"/>
      <c r="L51" s="30" t="str"/>
      <c r="M51" s="30" t="str"/>
      <c r="N51" s="31" t="str"/>
    </row>
    <row r="52">
      <c r="A52" s="32" t="str"/>
      <c r="B52" s="33" t="str"/>
      <c r="C52" s="33" t="str"/>
      <c r="D52" s="33" t="str"/>
      <c r="E52" s="33" t="str"/>
      <c r="F52" s="33" t="str"/>
      <c r="G52" s="33" t="str"/>
      <c r="H52" s="33" t="str"/>
      <c r="I52" s="33" t="str"/>
      <c r="J52" s="33" t="str"/>
      <c r="K52" s="33" t="str"/>
      <c r="L52" s="33" t="str"/>
      <c r="M52" s="33" t="str"/>
      <c r="N52" s="34" t="str"/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style="16" min="1" max="1"/>
    <col width="30" customWidth="1" style="16" min="2" max="2"/>
    <col width="20" customWidth="1" style="16" min="3" max="3"/>
    <col width="18" customWidth="1" style="16" min="4" max="4"/>
    <col width="12" customWidth="1" style="16" min="5" max="5"/>
    <col width="48" customWidth="1" style="16" min="6" max="6"/>
    <col width="44" customWidth="1" style="16" min="7" max="7"/>
  </cols>
  <sheetData>
    <row r="1">
      <c r="A1" s="154" t="inlineStr">
        <is>
          <t>Release Gate — мінімальні умови для MVP Release Candidate</t>
        </is>
      </c>
      <c r="B1" s="28" t="n"/>
      <c r="C1" s="28" t="n"/>
      <c r="D1" s="28" t="n"/>
      <c r="E1" s="28" t="n"/>
      <c r="F1" s="28" t="n"/>
      <c r="G1" s="28" t="n"/>
    </row>
    <row r="2">
      <c r="A2" s="6" t="inlineStr">
        <is>
          <t>Gate ID</t>
        </is>
      </c>
      <c r="B2" s="6" t="inlineStr">
        <is>
          <t>Blocking Gate</t>
        </is>
      </c>
      <c r="C2" s="6" t="inlineStr">
        <is>
          <t>Required threshold</t>
        </is>
      </c>
      <c r="D2" s="6" t="inlineStr">
        <is>
          <t>Current value</t>
        </is>
      </c>
      <c r="E2" s="6" t="inlineStr">
        <is>
          <t>Result</t>
        </is>
      </c>
      <c r="F2" s="6" t="inlineStr">
        <is>
          <t>Why it matters</t>
        </is>
      </c>
      <c r="G2" s="6" t="inlineStr">
        <is>
          <t>Action if FAIL</t>
        </is>
      </c>
    </row>
    <row r="3">
      <c r="A3" s="55" t="inlineStr">
        <is>
          <t>G01</t>
        </is>
      </c>
      <c r="B3" s="56" t="inlineStr">
        <is>
          <t>Open P0 defects</t>
        </is>
      </c>
      <c r="C3" s="56" t="inlineStr">
        <is>
          <t>0</t>
        </is>
      </c>
      <c r="D3" s="56">
        <f>COUNTIFS(Defects!$I$3:$I$1000,"P0",Defects!$K$3:$K$1000,"&lt;&gt;CLOSED",Defects!$A$3:$A$1000,"&lt;&gt;")</f>
        <v/>
      </c>
      <c r="E3" s="56">
        <f>IF(D3=VALUE(C3),"PASS","FAIL")</f>
        <v/>
      </c>
      <c r="F3" s="56" t="inlineStr">
        <is>
          <t>P0 = crash/data loss/security/release blocker</t>
        </is>
      </c>
      <c r="G3" s="57" t="inlineStr">
        <is>
          <t>Do not release; fix or remove affected scope</t>
        </is>
      </c>
    </row>
    <row r="4">
      <c r="A4" s="29" t="inlineStr">
        <is>
          <t>G02</t>
        </is>
      </c>
      <c r="B4" s="30" t="inlineStr">
        <is>
          <t>Open P1 defects</t>
        </is>
      </c>
      <c r="C4" s="30" t="inlineStr">
        <is>
          <t>0</t>
        </is>
      </c>
      <c r="D4" s="30">
        <f>COUNTIFS(Defects!$I$3:$I$1000,"P1",Defects!$K$3:$K$1000,"&lt;&gt;CLOSED",Defects!$A$3:$A$1000,"&lt;&gt;")</f>
        <v/>
      </c>
      <c r="E4" s="30">
        <f>IF(D4=VALUE(C4),"PASS","FAIL")</f>
        <v/>
      </c>
      <c r="F4" s="30" t="inlineStr">
        <is>
          <t>P1 breaks major user flow or reliability</t>
        </is>
      </c>
      <c r="G4" s="31" t="inlineStr">
        <is>
          <t>Fix before MVP unless scope removed</t>
        </is>
      </c>
    </row>
    <row r="5">
      <c r="A5" s="29" t="inlineStr">
        <is>
          <t>G03</t>
        </is>
      </c>
      <c r="B5" s="30" t="inlineStr">
        <is>
          <t>Failed MVP-gate tests</t>
        </is>
      </c>
      <c r="C5" s="30" t="inlineStr">
        <is>
          <t>0</t>
        </is>
      </c>
      <c r="D5" s="30">
        <f>COUNTIFS('MVP Test Matrix'!$M$3:$M$500,"YES",'MVP Test Matrix'!$N$3:$N$500,"FAIL")</f>
        <v/>
      </c>
      <c r="E5" s="30">
        <f>IF(D5=VALUE(C5),"PASS","FAIL")</f>
        <v/>
      </c>
      <c r="F5" s="30" t="inlineStr">
        <is>
          <t>Blocking tests must not fail</t>
        </is>
      </c>
      <c r="G5" s="31" t="inlineStr">
        <is>
          <t>Fix defect and retest</t>
        </is>
      </c>
    </row>
    <row r="6">
      <c r="A6" s="29" t="inlineStr">
        <is>
          <t>G04</t>
        </is>
      </c>
      <c r="B6" s="30" t="inlineStr">
        <is>
          <t>Blocked MVP-gate tests</t>
        </is>
      </c>
      <c r="C6" s="30" t="inlineStr">
        <is>
          <t>0</t>
        </is>
      </c>
      <c r="D6" s="30">
        <f>COUNTIFS('MVP Test Matrix'!$M$3:$M$500,"YES",'MVP Test Matrix'!$N$3:$N$500,"BLOCKED")</f>
        <v/>
      </c>
      <c r="E6" s="30">
        <f>IF(D6=VALUE(C6),"PASS","FAIL")</f>
        <v/>
      </c>
      <c r="F6" s="30" t="inlineStr">
        <is>
          <t>Unknown critical state is not release-ready</t>
        </is>
      </c>
      <c r="G6" s="31" t="inlineStr">
        <is>
          <t>Unblock environment/dependency and execute</t>
        </is>
      </c>
    </row>
    <row r="7">
      <c r="A7" s="29" t="inlineStr">
        <is>
          <t>G05</t>
        </is>
      </c>
      <c r="B7" s="30" t="inlineStr">
        <is>
          <t>Untested MVP-gate tests</t>
        </is>
      </c>
      <c r="C7" s="30" t="inlineStr">
        <is>
          <t>0</t>
        </is>
      </c>
      <c r="D7" s="30">
        <f>COUNTIFS('MVP Test Matrix'!$M$3:$M$500,"YES",'MVP Test Matrix'!$N$3:$N$500,"NOT STARTED")+COUNTIFS('MVP Test Matrix'!$M$3:$M$500,"YES",'MVP Test Matrix'!$N$3:$N$500,"IN PROGRESS")</f>
        <v/>
      </c>
      <c r="E7" s="30">
        <f>IF(D7=VALUE(C7),"PASS","FAIL")</f>
        <v/>
      </c>
      <c r="F7" s="30" t="inlineStr">
        <is>
          <t>Critical coverage must be complete</t>
        </is>
      </c>
      <c r="G7" s="31" t="inlineStr">
        <is>
          <t>Finish all blocking tests</t>
        </is>
      </c>
    </row>
    <row r="8">
      <c r="A8" s="29" t="inlineStr">
        <is>
          <t>G06</t>
        </is>
      </c>
      <c r="B8" s="30" t="inlineStr">
        <is>
          <t>P0 test failures</t>
        </is>
      </c>
      <c r="C8" s="30" t="inlineStr">
        <is>
          <t>0</t>
        </is>
      </c>
      <c r="D8" s="30">
        <f>COUNTIFS('MVP Test Matrix'!$K$3:$K$500,"P0",'MVP Test Matrix'!$N$3:$N$500,"FAIL")</f>
        <v/>
      </c>
      <c r="E8" s="30">
        <f>IF(D8=VALUE(C8),"PASS","FAIL")</f>
        <v/>
      </c>
      <c r="F8" s="30" t="inlineStr">
        <is>
          <t>P0 failures represent unacceptable MVP risk</t>
        </is>
      </c>
      <c r="G8" s="31" t="inlineStr">
        <is>
          <t>Fix and rerun regression</t>
        </is>
      </c>
    </row>
    <row r="9">
      <c r="A9" s="29" t="inlineStr">
        <is>
          <t>G07</t>
        </is>
      </c>
      <c r="B9" s="30" t="inlineStr">
        <is>
          <t>Android gate failures</t>
        </is>
      </c>
      <c r="C9" s="30" t="inlineStr">
        <is>
          <t>0</t>
        </is>
      </c>
      <c r="D9" s="30">
        <f>COUNTIFS('MVP Test Matrix'!$B$3:$B$500,"Android",'MVP Test Matrix'!$M$3:$M$500,"YES",'MVP Test Matrix'!$N$3:$N$500,"FAIL")</f>
        <v/>
      </c>
      <c r="E9" s="30">
        <f>IF(D9=VALUE(C9),"PASS","FAIL")</f>
        <v/>
      </c>
      <c r="F9" s="30" t="inlineStr">
        <is>
          <t>Android release must pass lifecycle/install/data critical paths</t>
        </is>
      </c>
      <c r="G9" s="31" t="inlineStr">
        <is>
          <t>Fix and retest on device matrix</t>
        </is>
      </c>
    </row>
    <row r="10">
      <c r="A10" s="29" t="inlineStr">
        <is>
          <t>G08</t>
        </is>
      </c>
      <c r="B10" s="30" t="inlineStr">
        <is>
          <t>PC/Web gate failures</t>
        </is>
      </c>
      <c r="C10" s="30" t="inlineStr">
        <is>
          <t>0</t>
        </is>
      </c>
      <c r="D10" s="30">
        <f>COUNTIFS('MVP Test Matrix'!$B$3:$B$500,"PC/Web",'MVP Test Matrix'!$M$3:$M$500,"YES",'MVP Test Matrix'!$N$3:$N$500,"FAIL")</f>
        <v/>
      </c>
      <c r="E10" s="30">
        <f>IF(D10=VALUE(C10),"PASS","FAIL")</f>
        <v/>
      </c>
      <c r="F10" s="30" t="inlineStr">
        <is>
          <t>PC/Web target must pass supported environment</t>
        </is>
      </c>
      <c r="G10" s="31" t="inlineStr">
        <is>
          <t>Fix compatibility or remove unsupported target</t>
        </is>
      </c>
    </row>
    <row r="11">
      <c r="A11" s="29" t="inlineStr">
        <is>
          <t>G09</t>
        </is>
      </c>
      <c r="B11" s="30" t="inlineStr">
        <is>
          <t>Cross-platform gate failures</t>
        </is>
      </c>
      <c r="C11" s="30" t="inlineStr">
        <is>
          <t>0</t>
        </is>
      </c>
      <c r="D11" s="30">
        <f>COUNTIFS('MVP Test Matrix'!$B$3:$B$500,"Cross-platform",'MVP Test Matrix'!$M$3:$M$500,"YES",'MVP Test Matrix'!$N$3:$N$500,"FAIL")</f>
        <v/>
      </c>
      <c r="E11" s="30">
        <f>IF(D11=VALUE(C11),"PASS","FAIL")</f>
        <v/>
      </c>
      <c r="F11" s="30" t="inlineStr">
        <is>
          <t>Core product logic/data/security applies everywhere</t>
        </is>
      </c>
      <c r="G11" s="31" t="inlineStr">
        <is>
          <t>Fix before RC</t>
        </is>
      </c>
    </row>
    <row r="12">
      <c r="A12" s="32" t="inlineStr">
        <is>
          <t>G10</t>
        </is>
      </c>
      <c r="B12" s="33" t="inlineStr">
        <is>
          <t>Final smoke test</t>
        </is>
      </c>
      <c r="C12" s="33" t="inlineStr">
        <is>
          <t>PASS</t>
        </is>
      </c>
      <c r="D12" s="33">
        <f>IF(COUNTIFS('MVP Test Matrix'!$A$3:$A$500,"R007",'MVP Test Matrix'!$N$3:$N$500,"PASS")=1,"PASS","NOT PASS")</f>
        <v/>
      </c>
      <c r="E12" s="33">
        <f>IF(D12=C12,"PASS","FAIL")</f>
        <v/>
      </c>
      <c r="F12" s="33" t="inlineStr">
        <is>
          <t>Final artifact must install and complete smoke flow</t>
        </is>
      </c>
      <c r="G12" s="34" t="inlineStr">
        <is>
          <t>Rebuild/retest RC</t>
        </is>
      </c>
    </row>
    <row r="13" ht="44" customHeight="1" s="16">
      <c r="A13" s="147" t="inlineStr">
        <is>
          <t>G11</t>
        </is>
      </c>
      <c r="B13" s="148" t="inlineStr">
        <is>
          <t>Workbook structural integrity errors</t>
        </is>
      </c>
      <c r="C13" s="149" t="inlineStr">
        <is>
          <t>0</t>
        </is>
      </c>
      <c r="D13" s="149">
        <f>(COUNTA('MVP Test Matrix'!$B$3:$B$500)-COUNTIF('MVP Test Matrix'!$B$3:$B$500,"Cross-platform")-COUNTIF('MVP Test Matrix'!$B$3:$B$500,"PC/Web")-COUNTIF('MVP Test Matrix'!$B$3:$B$500,"Android")-COUNTIF('MVP Test Matrix'!$B$3:$B$500,"Backend/API")-COUNTIF('MVP Test Matrix'!$B$3:$B$500,"AI/RAG")-COUNTIF('MVP Test Matrix'!$B$3:$B$500,"Release"))+(COUNTA('MVP Test Matrix'!$J$3:$J$500)-COUNTIF('MVP Test Matrix'!$J$3:$J$500,"Manual")-COUNTIF('MVP Test Matrix'!$J$3:$J$500,"Semi-automated")-COUNTIF('MVP Test Matrix'!$J$3:$J$500,"Automated"))+(COUNTA('MVP Test Matrix'!$K$3:$K$500)-COUNTIF('MVP Test Matrix'!$K$3:$K$500,"P0")-COUNTIF('MVP Test Matrix'!$K$3:$K$500,"P1")-COUNTIF('MVP Test Matrix'!$K$3:$K$500,"P2")-COUNTIF('MVP Test Matrix'!$K$3:$K$500,"P3"))+(COUNTA('MVP Test Matrix'!$L$3:$L$500)-COUNTIF('MVP Test Matrix'!$L$3:$L$500,"Critical")-COUNTIF('MVP Test Matrix'!$L$3:$L$500,"High")-COUNTIF('MVP Test Matrix'!$L$3:$L$500,"Medium")-COUNTIF('MVP Test Matrix'!$L$3:$L$500,"Low"))+(COUNTA('MVP Test Matrix'!$M$3:$M$500)-COUNTIF('MVP Test Matrix'!$M$3:$M$500,"YES")-COUNTIF('MVP Test Matrix'!$M$3:$M$500,"NO"))+(COUNTA('MVP Test Matrix'!$N$3:$N$500)-COUNTIF('MVP Test Matrix'!$N$3:$N$500,"NOT STARTED")-COUNTIF('MVP Test Matrix'!$N$3:$N$500,"IN PROGRESS")-COUNTIF('MVP Test Matrix'!$N$3:$N$500,"PASS")-COUNTIF('MVP Test Matrix'!$N$3:$N$500,"FAIL")-COUNTIF('MVP Test Matrix'!$N$3:$N$500,"BLOCKED")-COUNTIF('MVP Test Matrix'!$N$3:$N$500,"N/A"))+(COUNTA('MVP Test Matrix'!$R$3:$R$500)-COUNTIF('MVP Test Matrix'!$R$3:$R$500,"NOT TESTED")-COUNTIF('MVP Test Matrix'!$R$3:$R$500,"PASS")-COUNTIF('MVP Test Matrix'!$R$3:$R$500,"FAIL")-COUNTIF('MVP Test Matrix'!$R$3:$R$500,"N/A"))+(COUNTA('MVP Test Matrix'!$T$3:$T$500)-COUNTIF('MVP Test Matrix'!$T$3:$T$500,"Every release")-COUNTIF('MVP Test Matrix'!$T$3:$T$500,"Every major release")-COUNTIF('MVP Test Matrix'!$T$3:$T$500,"After related change")-COUNTIF('MVP Test Matrix'!$T$3:$T$500,"Before MVP")-COUNTIF('MVP Test Matrix'!$T$3:$T$500,"Periodic")-COUNTIF('MVP Test Matrix'!$T$3:$T$500,"One-time before launch")-COUNTIF('MVP Test Matrix'!$T$3:$T$500,"Every build")-COUNTIF('MVP Test Matrix'!$T$3:$T$500,"If feature changes")-COUNTIF('MVP Test Matrix'!$T$3:$T$500,"After model/index change"))+COUNTIFS('MVP Test Matrix'!$A$3:$A$500,"&lt;&gt;",'MVP Test Matrix'!$B$3:$B$500,"")+COUNTIFS('MVP Test Matrix'!$A$3:$A$500,"&lt;&gt;",'MVP Test Matrix'!$F$3:$F$500,"")+COUNTIFS('MVP Test Matrix'!$A$3:$A$500,"&lt;&gt;",'MVP Test Matrix'!$G$3:$G$500,"")+COUNTIFS('MVP Test Matrix'!$A$3:$A$500,"&lt;&gt;",'MVP Test Matrix'!$H$3:$H$500,"")+COUNTIFS('MVP Test Matrix'!$A$3:$A$500,"&lt;&gt;",'MVP Test Matrix'!$I$3:$I$500,"")+COUNTIFS('MVP Test Matrix'!$A$3:$A$500,"&lt;&gt;",'MVP Test Matrix'!$J$3:$J$500,"")+COUNTIFS('MVP Test Matrix'!$A$3:$A$500,"&lt;&gt;",'MVP Test Matrix'!$K$3:$K$500,"")+COUNTIFS('MVP Test Matrix'!$A$3:$A$500,"&lt;&gt;",'MVP Test Matrix'!$L$3:$L$500,"")+COUNTIFS('MVP Test Matrix'!$A$3:$A$500,"&lt;&gt;",'MVP Test Matrix'!$M$3:$M$500,"")+COUNTIFS('MVP Test Matrix'!$A$3:$A$500,"&lt;&gt;",'MVP Test Matrix'!$N$3:$N$500,"")+COUNTIFS('MVP Test Matrix'!$A$3:$A$500,"&lt;&gt;",'MVP Test Matrix'!$R$3:$R$500,"")+COUNTIFS('MVP Test Matrix'!$A$3:$A$500,"&lt;&gt;",'MVP Test Matrix'!$T$3:$T$500,"")+COUNTIFS('MVP Test Matrix'!$A$3:$A$500,"",'MVP Test Matrix'!$B$3:$B$500,"&lt;&gt;")</f>
        <v/>
      </c>
      <c r="E13" s="149">
        <f>IF(D13=VALUE(C13),"PASS","FAIL")</f>
        <v/>
      </c>
      <c r="F13" s="148" t="inlineStr">
        <is>
          <t>Malformed enums, missing gate fields, duplicate/orphan rows or shifted columns can invalidate release counts</t>
        </is>
      </c>
      <c r="G13" s="148" t="inlineStr">
        <is>
          <t>Repair workbook structure and recompute all gate inputs from raw rows</t>
        </is>
      </c>
    </row>
    <row r="14" ht="44" customHeight="1" s="16">
      <c r="A14" s="142" t="inlineStr">
        <is>
          <t>G12</t>
        </is>
      </c>
      <c r="B14" s="139" t="inlineStr">
        <is>
          <t>Open Critical defects</t>
        </is>
      </c>
      <c r="C14" s="145" t="inlineStr">
        <is>
          <t>0</t>
        </is>
      </c>
      <c r="D14" s="145">
        <f>COUNTIFS(Defects!$H$3:$H$1000,"Critical",Defects!$K$3:$K$1000,"&lt;&gt;CLOSED",Defects!$A$3:$A$1000,"&lt;&gt;")</f>
        <v/>
      </c>
      <c r="E14" s="145">
        <f>IF(D14=VALUE(C14),"PASS","FAIL")</f>
        <v/>
      </c>
      <c r="F14" s="139" t="inlineStr">
        <is>
          <t>A Critical defect in required MVP scope is release-blocking regardless of priority label</t>
        </is>
      </c>
      <c r="G14" s="139" t="inlineStr">
        <is>
          <t>Resolve, verify and close the Critical defect</t>
        </is>
      </c>
    </row>
    <row r="15" ht="44" customHeight="1" s="16">
      <c r="A15" s="147" t="inlineStr">
        <is>
          <t>G13</t>
        </is>
      </c>
      <c r="B15" s="148" t="inlineStr">
        <is>
          <t>Open ReleaseBlocker defects</t>
        </is>
      </c>
      <c r="C15" s="149" t="inlineStr">
        <is>
          <t>0</t>
        </is>
      </c>
      <c r="D15" s="149">
        <f>COUNTIFS(Defects!$R$3:$R$1000,"YES",Defects!$K$3:$K$1000,"&lt;&gt;CLOSED",Defects!$A$3:$A$1000,"&lt;&gt;")</f>
        <v/>
      </c>
      <c r="E15" s="149">
        <f>IF(D15=VALUE(C15),"PASS","FAIL")</f>
        <v/>
      </c>
      <c r="F15" s="148" t="inlineStr">
        <is>
          <t>ReleaseBlocker=YES independently blocks the release decision</t>
        </is>
      </c>
      <c r="G15" s="148" t="inlineStr">
        <is>
          <t>Resolve and verify every open release blocker</t>
        </is>
      </c>
    </row>
    <row r="16" ht="44" customHeight="1" s="16">
      <c r="A16" s="142" t="inlineStr">
        <is>
          <t>G14</t>
        </is>
      </c>
      <c r="B16" s="139" t="inlineStr">
        <is>
          <t>MVP-gate N/A without evidence</t>
        </is>
      </c>
      <c r="C16" s="145" t="inlineStr">
        <is>
          <t>0</t>
        </is>
      </c>
      <c r="D16" s="145">
        <f>COUNTIFS('MVP Test Matrix'!$M$3:$M$500,"YES",'MVP Test Matrix'!$N$3:$N$500,"N/A",'MVP Test Matrix'!$P$3:$P$500,"")</f>
        <v/>
      </c>
      <c r="E16" s="145">
        <f>IF(D16=VALUE(C16),"PASS","FAIL")</f>
        <v/>
      </c>
      <c r="F16" s="139" t="inlineStr">
        <is>
          <t>N/A cannot remove a required gate without objective documented evidence</t>
        </is>
      </c>
      <c r="G16" s="139" t="inlineStr">
        <is>
          <t>Add objective applicability evidence or execute/fix the test</t>
        </is>
      </c>
    </row>
    <row r="17">
      <c r="A17" s="30" t="n"/>
      <c r="B17" s="158" t="n"/>
      <c r="C17" s="30" t="n"/>
      <c r="D17" s="30" t="n"/>
      <c r="E17" s="30" t="n"/>
      <c r="F17" s="30" t="n"/>
      <c r="G17" s="30" t="n"/>
    </row>
    <row r="18" ht="24" customHeight="1" s="16">
      <c r="A18" s="159" t="inlineStr">
        <is>
          <t>MVP Gate Summary</t>
        </is>
      </c>
      <c r="B18" s="28" t="n"/>
      <c r="C18" s="28" t="n"/>
      <c r="D18" s="28" t="n"/>
      <c r="E18" s="28" t="n"/>
      <c r="F18" s="28" t="n"/>
      <c r="G18" s="28" t="n"/>
    </row>
    <row r="19">
      <c r="A19" s="30" t="inlineStr">
        <is>
          <t>Blocking gates passed</t>
        </is>
      </c>
      <c r="B19" s="30">
        <f>COUNTIF(E3:E16,"PASS")</f>
        <v/>
      </c>
      <c r="C19" s="30" t="n"/>
      <c r="D19" s="30" t="n"/>
      <c r="E19" s="30" t="n"/>
      <c r="F19" s="30" t="n"/>
      <c r="G19" s="30" t="n"/>
    </row>
    <row r="20">
      <c r="A20" s="30" t="inlineStr">
        <is>
          <t>Blocking gates total</t>
        </is>
      </c>
      <c r="B20" s="30">
        <f>COUNTA(A3:A16)</f>
        <v/>
      </c>
      <c r="C20" s="30" t="n"/>
      <c r="D20" s="30" t="n"/>
      <c r="E20" s="30" t="n"/>
      <c r="F20" s="30" t="n"/>
      <c r="G20" s="30" t="n"/>
    </row>
    <row r="21">
      <c r="A21" s="30" t="inlineStr">
        <is>
          <t>Gate pass ratio</t>
        </is>
      </c>
      <c r="B21" s="30">
        <f>IF(B20=0,0,B19/B20)</f>
        <v/>
      </c>
      <c r="C21" s="30" t="n"/>
      <c r="D21" s="30" t="n"/>
      <c r="E21" s="30" t="n"/>
      <c r="F21" s="30" t="n"/>
      <c r="G21" s="30" t="n"/>
    </row>
    <row r="22">
      <c r="A22" s="30" t="inlineStr">
        <is>
          <t>Release decision</t>
        </is>
      </c>
      <c r="B22" s="30">
        <f>IF(B21=1,"MVP RELEASE CANDIDATE","NOT READY")</f>
        <v/>
      </c>
      <c r="C22" s="30" t="n"/>
      <c r="D22" s="30" t="n"/>
      <c r="E22" s="30" t="n"/>
      <c r="F22" s="30" t="n"/>
      <c r="G22" s="30" t="n"/>
    </row>
  </sheetData>
  <mergeCells count="2">
    <mergeCell ref="A1:G1"/>
    <mergeCell ref="A18:G18"/>
  </mergeCells>
  <conditionalFormatting sqref="E3:E12">
    <cfRule type="expression" priority="1" dxfId="0">
      <formula>E3="PASS"</formula>
    </cfRule>
    <cfRule type="expression" priority="2" dxfId="1">
      <formula>E3="FAIL"</formula>
    </cfRule>
  </conditionalFormatting>
  <conditionalFormatting sqref="B18">
    <cfRule type="expression" priority="3" dxfId="10">
      <formula>B18="MVP RELEASE CANDIDATE"</formula>
    </cfRule>
    <cfRule type="expression" priority="4" dxfId="11">
      <formula>B18="NOT READY"</formula>
    </cfRule>
  </conditionalFormatting>
  <conditionalFormatting sqref="E13:E16">
    <cfRule type="expression" priority="5" dxfId="15">
      <formula>E13="PASS"</formula>
    </cfRule>
    <cfRule type="expression" priority="6" dxfId="16">
      <formula>E13="FAIL"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.75" customWidth="1" style="16" min="1" max="1"/>
    <col width="6.25" customWidth="1" style="16" min="2" max="2"/>
    <col width="6.880000114440918" customWidth="1" style="16" min="3" max="3"/>
    <col width="13" customWidth="1" style="16" min="4" max="4"/>
    <col width="8.25" customWidth="1" style="16" min="5" max="5"/>
    <col width="9.75" customWidth="1" style="16" min="6" max="6"/>
    <col width="11.5" customWidth="1" style="16" min="7" max="7"/>
    <col width="18.25" customWidth="1" style="16" min="8" max="8"/>
    <col width="18" customWidth="1" style="16" min="9" max="9"/>
  </cols>
  <sheetData>
    <row r="1">
      <c r="A1" s="12" t="inlineStr">
        <is>
          <t>Status</t>
        </is>
      </c>
      <c r="B1" s="13" t="inlineStr">
        <is>
          <t>Priority</t>
        </is>
      </c>
      <c r="C1" s="13" t="inlineStr">
        <is>
          <t>Severity</t>
        </is>
      </c>
      <c r="D1" s="13" t="inlineStr">
        <is>
          <t>Automation</t>
        </is>
      </c>
      <c r="E1" s="13" t="inlineStr">
        <is>
          <t>MVP Gate</t>
        </is>
      </c>
      <c r="F1" s="13" t="inlineStr">
        <is>
          <t>Retest</t>
        </is>
      </c>
      <c r="G1" s="13" t="inlineStr">
        <is>
          <t>Platform</t>
        </is>
      </c>
      <c r="H1" s="14" t="inlineStr">
        <is>
          <t>Frequency</t>
        </is>
      </c>
      <c r="I1" t="inlineStr">
        <is>
          <t>Release Blocker</t>
        </is>
      </c>
    </row>
    <row r="2">
      <c r="A2" s="29" t="inlineStr">
        <is>
          <t>NOT STARTED</t>
        </is>
      </c>
      <c r="B2" s="30" t="inlineStr">
        <is>
          <t>P0</t>
        </is>
      </c>
      <c r="C2" s="30" t="inlineStr">
        <is>
          <t>Critical</t>
        </is>
      </c>
      <c r="D2" s="30" t="inlineStr">
        <is>
          <t>Manual</t>
        </is>
      </c>
      <c r="E2" s="30" t="inlineStr">
        <is>
          <t>YES</t>
        </is>
      </c>
      <c r="F2" s="30" t="inlineStr">
        <is>
          <t>NOT TESTED</t>
        </is>
      </c>
      <c r="G2" s="30" t="inlineStr">
        <is>
          <t>Cross-platform</t>
        </is>
      </c>
      <c r="H2" s="31" t="inlineStr">
        <is>
          <t>Every release</t>
        </is>
      </c>
      <c r="I2" t="inlineStr">
        <is>
          <t>YES</t>
        </is>
      </c>
    </row>
    <row r="3">
      <c r="A3" s="29" t="inlineStr">
        <is>
          <t>IN PROGRESS</t>
        </is>
      </c>
      <c r="B3" s="30" t="inlineStr">
        <is>
          <t>P1</t>
        </is>
      </c>
      <c r="C3" s="30" t="inlineStr">
        <is>
          <t>High</t>
        </is>
      </c>
      <c r="D3" s="30" t="inlineStr">
        <is>
          <t>Semi-automated</t>
        </is>
      </c>
      <c r="E3" s="30" t="inlineStr">
        <is>
          <t>NO</t>
        </is>
      </c>
      <c r="F3" s="30" t="inlineStr">
        <is>
          <t>PASS</t>
        </is>
      </c>
      <c r="G3" s="30" t="inlineStr">
        <is>
          <t>PC/Web</t>
        </is>
      </c>
      <c r="H3" s="31" t="inlineStr">
        <is>
          <t>Every major release</t>
        </is>
      </c>
      <c r="I3" t="inlineStr">
        <is>
          <t>NO</t>
        </is>
      </c>
    </row>
    <row r="4">
      <c r="A4" s="29" t="inlineStr">
        <is>
          <t>PASS</t>
        </is>
      </c>
      <c r="B4" s="30" t="inlineStr">
        <is>
          <t>P2</t>
        </is>
      </c>
      <c r="C4" s="30" t="inlineStr">
        <is>
          <t>Medium</t>
        </is>
      </c>
      <c r="D4" s="30" t="inlineStr">
        <is>
          <t>Automated</t>
        </is>
      </c>
      <c r="E4" s="30" t="str"/>
      <c r="F4" s="30" t="inlineStr">
        <is>
          <t>FAIL</t>
        </is>
      </c>
      <c r="G4" s="30" t="inlineStr">
        <is>
          <t>Android</t>
        </is>
      </c>
      <c r="H4" s="31" t="inlineStr">
        <is>
          <t>After related change</t>
        </is>
      </c>
    </row>
    <row r="5">
      <c r="A5" s="29" t="inlineStr">
        <is>
          <t>FAIL</t>
        </is>
      </c>
      <c r="B5" s="30" t="inlineStr">
        <is>
          <t>P3</t>
        </is>
      </c>
      <c r="C5" s="30" t="inlineStr">
        <is>
          <t>Low</t>
        </is>
      </c>
      <c r="D5" s="30" t="str"/>
      <c r="E5" s="30" t="str"/>
      <c r="F5" s="30" t="inlineStr">
        <is>
          <t>N/A</t>
        </is>
      </c>
      <c r="G5" s="30" t="inlineStr">
        <is>
          <t>Backend/API</t>
        </is>
      </c>
      <c r="H5" s="31" t="inlineStr">
        <is>
          <t>Before MVP</t>
        </is>
      </c>
    </row>
    <row r="6">
      <c r="A6" s="29" t="inlineStr">
        <is>
          <t>BLOCKED</t>
        </is>
      </c>
      <c r="B6" s="30" t="str"/>
      <c r="C6" s="30" t="str"/>
      <c r="D6" s="30" t="str"/>
      <c r="E6" s="30" t="str"/>
      <c r="F6" s="30" t="str"/>
      <c r="G6" s="30" t="inlineStr">
        <is>
          <t>AI/RAG</t>
        </is>
      </c>
      <c r="H6" s="31" t="inlineStr">
        <is>
          <t>Periodic</t>
        </is>
      </c>
    </row>
    <row r="7">
      <c r="A7" s="32" t="inlineStr">
        <is>
          <t>N/A</t>
        </is>
      </c>
      <c r="B7" s="33" t="str"/>
      <c r="C7" s="33" t="str"/>
      <c r="D7" s="33" t="str"/>
      <c r="E7" s="33" t="str"/>
      <c r="F7" s="33" t="str"/>
      <c r="G7" s="33" t="inlineStr">
        <is>
          <t>Release</t>
        </is>
      </c>
      <c r="H7" s="34" t="inlineStr">
        <is>
          <t>One-time before launch</t>
        </is>
      </c>
    </row>
    <row r="8">
      <c r="H8" t="inlineStr">
        <is>
          <t>Every build</t>
        </is>
      </c>
    </row>
    <row r="9">
      <c r="H9" t="inlineStr">
        <is>
          <t>If feature changes</t>
        </is>
      </c>
    </row>
    <row r="10">
      <c r="H10" t="inlineStr">
        <is>
          <t>After model/index change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2026-09-24T01:18:08Z</dcterms:created>
  <dcterms:modified xsi:type="dcterms:W3CDTF">2026-09-24T01:18:13Z</dcterms:modified>
</cp:coreProperties>
</file>